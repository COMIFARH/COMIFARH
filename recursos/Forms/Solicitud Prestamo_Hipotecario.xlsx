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7ebd89f623bf1bd/Documentos/Comifarh/COMIFARH diciembre 2019 nuevo/Protocolo de Comifarh/"/>
    </mc:Choice>
  </mc:AlternateContent>
  <xr:revisionPtr revIDLastSave="125" documentId="8_{6AF5B0CB-2F6A-44C4-A44E-0C2BF71EDFDC}" xr6:coauthVersionLast="47" xr6:coauthVersionMax="47" xr10:uidLastSave="{EF36FA3D-619E-4B24-A9A0-0A5D64E8D33D}"/>
  <bookViews>
    <workbookView xWindow="-120" yWindow="-120" windowWidth="20730" windowHeight="11040" activeTab="3" xr2:uid="{00000000-000D-0000-FFFF-FFFF00000000}"/>
  </bookViews>
  <sheets>
    <sheet name="Solicitud" sheetId="1" r:id="rId1"/>
    <sheet name="Listas" sheetId="2" state="hidden" r:id="rId2"/>
    <sheet name="Análisis de Crédito" sheetId="3" r:id="rId3"/>
    <sheet name="Amortización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E12" i="4"/>
  <c r="D12" i="4"/>
  <c r="C16" i="4"/>
  <c r="B49" i="1"/>
  <c r="B15" i="3"/>
  <c r="B19" i="3" l="1"/>
  <c r="B14" i="3"/>
  <c r="B24" i="3" s="1"/>
  <c r="B13" i="3"/>
  <c r="B12" i="3"/>
  <c r="B18" i="3" s="1"/>
  <c r="B11" i="3"/>
  <c r="B7" i="1"/>
  <c r="B10" i="1"/>
  <c r="B9" i="1"/>
  <c r="B8" i="1"/>
  <c r="B6" i="1"/>
  <c r="B12" i="1" s="1"/>
  <c r="C12" i="4" l="1"/>
  <c r="B20" i="3"/>
  <c r="B22" i="3" s="1"/>
  <c r="B25" i="3" s="1"/>
  <c r="B23" i="3"/>
  <c r="B136" i="4"/>
  <c r="A19" i="4"/>
  <c r="B20" i="4"/>
  <c r="A27" i="4"/>
  <c r="B28" i="4"/>
  <c r="A35" i="4"/>
  <c r="B36" i="4"/>
  <c r="A47" i="4"/>
  <c r="B56" i="4"/>
  <c r="A79" i="4"/>
  <c r="B88" i="4"/>
  <c r="A111" i="4"/>
  <c r="B120" i="4"/>
  <c r="B19" i="4"/>
  <c r="A26" i="4"/>
  <c r="B27" i="4"/>
  <c r="A34" i="4"/>
  <c r="B35" i="4"/>
  <c r="A61" i="4"/>
  <c r="B70" i="4"/>
  <c r="A93" i="4"/>
  <c r="B102" i="4"/>
  <c r="A125" i="4"/>
  <c r="B134" i="4"/>
  <c r="C19" i="4"/>
  <c r="E19" i="4" s="1"/>
  <c r="A25" i="4"/>
  <c r="B26" i="4"/>
  <c r="A33" i="4"/>
  <c r="B34" i="4"/>
  <c r="A41" i="4"/>
  <c r="B48" i="4"/>
  <c r="A71" i="4"/>
  <c r="B80" i="4"/>
  <c r="A103" i="4"/>
  <c r="B112" i="4"/>
  <c r="A135" i="4"/>
  <c r="A24" i="4"/>
  <c r="B25" i="4"/>
  <c r="A32" i="4"/>
  <c r="B33" i="4"/>
  <c r="A40" i="4"/>
  <c r="B41" i="4"/>
  <c r="A53" i="4"/>
  <c r="B62" i="4"/>
  <c r="A85" i="4"/>
  <c r="B94" i="4"/>
  <c r="A117" i="4"/>
  <c r="B126" i="4"/>
  <c r="A23" i="4"/>
  <c r="B24" i="4"/>
  <c r="A31" i="4"/>
  <c r="B32" i="4"/>
  <c r="A39" i="4"/>
  <c r="B40" i="4"/>
  <c r="A63" i="4"/>
  <c r="B72" i="4"/>
  <c r="A95" i="4"/>
  <c r="B104" i="4"/>
  <c r="A127" i="4"/>
  <c r="B133" i="4"/>
  <c r="A132" i="4"/>
  <c r="B125" i="4"/>
  <c r="A124" i="4"/>
  <c r="B117" i="4"/>
  <c r="A116" i="4"/>
  <c r="B109" i="4"/>
  <c r="A108" i="4"/>
  <c r="B101" i="4"/>
  <c r="A100" i="4"/>
  <c r="B93" i="4"/>
  <c r="A92" i="4"/>
  <c r="B85" i="4"/>
  <c r="A84" i="4"/>
  <c r="B77" i="4"/>
  <c r="A76" i="4"/>
  <c r="B69" i="4"/>
  <c r="A68" i="4"/>
  <c r="B61" i="4"/>
  <c r="A60" i="4"/>
  <c r="B53" i="4"/>
  <c r="A52" i="4"/>
  <c r="B45" i="4"/>
  <c r="A44" i="4"/>
  <c r="B135" i="4"/>
  <c r="A134" i="4"/>
  <c r="B127" i="4"/>
  <c r="A126" i="4"/>
  <c r="B119" i="4"/>
  <c r="A118" i="4"/>
  <c r="B111" i="4"/>
  <c r="A110" i="4"/>
  <c r="B103" i="4"/>
  <c r="A102" i="4"/>
  <c r="B95" i="4"/>
  <c r="A94" i="4"/>
  <c r="B87" i="4"/>
  <c r="A86" i="4"/>
  <c r="B79" i="4"/>
  <c r="A78" i="4"/>
  <c r="B71" i="4"/>
  <c r="A70" i="4"/>
  <c r="B63" i="4"/>
  <c r="A62" i="4"/>
  <c r="B55" i="4"/>
  <c r="A54" i="4"/>
  <c r="B47" i="4"/>
  <c r="A46" i="4"/>
  <c r="B137" i="4"/>
  <c r="A136" i="4"/>
  <c r="B129" i="4"/>
  <c r="A128" i="4"/>
  <c r="B121" i="4"/>
  <c r="A120" i="4"/>
  <c r="B113" i="4"/>
  <c r="A112" i="4"/>
  <c r="B105" i="4"/>
  <c r="A104" i="4"/>
  <c r="B97" i="4"/>
  <c r="A96" i="4"/>
  <c r="B89" i="4"/>
  <c r="A88" i="4"/>
  <c r="B81" i="4"/>
  <c r="A80" i="4"/>
  <c r="B73" i="4"/>
  <c r="A72" i="4"/>
  <c r="B65" i="4"/>
  <c r="A64" i="4"/>
  <c r="B57" i="4"/>
  <c r="A56" i="4"/>
  <c r="B49" i="4"/>
  <c r="A48" i="4"/>
  <c r="B138" i="4"/>
  <c r="A137" i="4"/>
  <c r="B130" i="4"/>
  <c r="A129" i="4"/>
  <c r="B122" i="4"/>
  <c r="A121" i="4"/>
  <c r="B114" i="4"/>
  <c r="A113" i="4"/>
  <c r="B106" i="4"/>
  <c r="A105" i="4"/>
  <c r="B98" i="4"/>
  <c r="A97" i="4"/>
  <c r="B90" i="4"/>
  <c r="A89" i="4"/>
  <c r="B82" i="4"/>
  <c r="A81" i="4"/>
  <c r="B74" i="4"/>
  <c r="A73" i="4"/>
  <c r="B66" i="4"/>
  <c r="A65" i="4"/>
  <c r="B58" i="4"/>
  <c r="A57" i="4"/>
  <c r="B50" i="4"/>
  <c r="A49" i="4"/>
  <c r="B42" i="4"/>
  <c r="A138" i="4"/>
  <c r="B131" i="4"/>
  <c r="A130" i="4"/>
  <c r="B123" i="4"/>
  <c r="A122" i="4"/>
  <c r="B115" i="4"/>
  <c r="A114" i="4"/>
  <c r="B107" i="4"/>
  <c r="A106" i="4"/>
  <c r="B99" i="4"/>
  <c r="A98" i="4"/>
  <c r="B91" i="4"/>
  <c r="A90" i="4"/>
  <c r="B83" i="4"/>
  <c r="A82" i="4"/>
  <c r="B75" i="4"/>
  <c r="A74" i="4"/>
  <c r="B67" i="4"/>
  <c r="A66" i="4"/>
  <c r="B59" i="4"/>
  <c r="A58" i="4"/>
  <c r="B51" i="4"/>
  <c r="A50" i="4"/>
  <c r="B43" i="4"/>
  <c r="A42" i="4"/>
  <c r="B132" i="4"/>
  <c r="A131" i="4"/>
  <c r="B124" i="4"/>
  <c r="A123" i="4"/>
  <c r="B116" i="4"/>
  <c r="A115" i="4"/>
  <c r="B108" i="4"/>
  <c r="A107" i="4"/>
  <c r="B100" i="4"/>
  <c r="A99" i="4"/>
  <c r="B92" i="4"/>
  <c r="A91" i="4"/>
  <c r="B84" i="4"/>
  <c r="A83" i="4"/>
  <c r="B76" i="4"/>
  <c r="A75" i="4"/>
  <c r="B68" i="4"/>
  <c r="A67" i="4"/>
  <c r="B60" i="4"/>
  <c r="A59" i="4"/>
  <c r="B52" i="4"/>
  <c r="A51" i="4"/>
  <c r="B44" i="4"/>
  <c r="A43" i="4"/>
  <c r="A22" i="4"/>
  <c r="B23" i="4"/>
  <c r="A30" i="4"/>
  <c r="B31" i="4"/>
  <c r="A38" i="4"/>
  <c r="B39" i="4"/>
  <c r="A45" i="4"/>
  <c r="B54" i="4"/>
  <c r="A77" i="4"/>
  <c r="B86" i="4"/>
  <c r="A109" i="4"/>
  <c r="B118" i="4"/>
  <c r="A21" i="4"/>
  <c r="B22" i="4"/>
  <c r="A29" i="4"/>
  <c r="B30" i="4"/>
  <c r="A37" i="4"/>
  <c r="B38" i="4"/>
  <c r="A55" i="4"/>
  <c r="B64" i="4"/>
  <c r="A87" i="4"/>
  <c r="B96" i="4"/>
  <c r="A119" i="4"/>
  <c r="B128" i="4"/>
  <c r="A20" i="4"/>
  <c r="B21" i="4"/>
  <c r="A28" i="4"/>
  <c r="B29" i="4"/>
  <c r="A36" i="4"/>
  <c r="B37" i="4"/>
  <c r="B46" i="4"/>
  <c r="A69" i="4"/>
  <c r="B78" i="4"/>
  <c r="A101" i="4"/>
  <c r="B110" i="4"/>
  <c r="A133" i="4"/>
  <c r="B21" i="3" l="1"/>
  <c r="D5" i="4"/>
  <c r="F12" i="4"/>
  <c r="D4" i="4"/>
  <c r="B29" i="3"/>
  <c r="G12" i="4" l="1"/>
  <c r="B11" i="1"/>
  <c r="D42" i="4"/>
  <c r="D25" i="4"/>
  <c r="D22" i="4"/>
  <c r="D56" i="4"/>
  <c r="D36" i="4"/>
  <c r="D35" i="4"/>
  <c r="D103" i="4"/>
  <c r="D137" i="4"/>
  <c r="D73" i="4"/>
  <c r="D107" i="4"/>
  <c r="D43" i="4"/>
  <c r="D76" i="4"/>
  <c r="D109" i="4"/>
  <c r="D45" i="4"/>
  <c r="D78" i="4"/>
  <c r="D136" i="4"/>
  <c r="D114" i="4"/>
  <c r="D31" i="4"/>
  <c r="D96" i="4"/>
  <c r="D21" i="4"/>
  <c r="D74" i="4"/>
  <c r="D20" i="4"/>
  <c r="D122" i="4"/>
  <c r="D119" i="4"/>
  <c r="D55" i="4"/>
  <c r="D89" i="4"/>
  <c r="D123" i="4"/>
  <c r="D59" i="4"/>
  <c r="D92" i="4"/>
  <c r="D125" i="4"/>
  <c r="D61" i="4"/>
  <c r="D94" i="4"/>
  <c r="D72" i="4"/>
  <c r="D50" i="4"/>
  <c r="D127" i="4"/>
  <c r="D133" i="4"/>
  <c r="D41" i="4"/>
  <c r="D112" i="4"/>
  <c r="D49" i="4"/>
  <c r="D118" i="4"/>
  <c r="D30" i="4"/>
  <c r="D88" i="4"/>
  <c r="D66" i="4"/>
  <c r="D48" i="4"/>
  <c r="D95" i="4"/>
  <c r="D129" i="4"/>
  <c r="D65" i="4"/>
  <c r="D99" i="4"/>
  <c r="D132" i="4"/>
  <c r="D68" i="4"/>
  <c r="D101" i="4"/>
  <c r="D134" i="4"/>
  <c r="D70" i="4"/>
  <c r="D24" i="4"/>
  <c r="D39" i="4"/>
  <c r="D128" i="4"/>
  <c r="D37" i="4"/>
  <c r="D67" i="4"/>
  <c r="D130" i="4"/>
  <c r="D116" i="4"/>
  <c r="D19" i="4"/>
  <c r="F19" i="4" s="1"/>
  <c r="G19" i="4" s="1"/>
  <c r="C20" i="4" s="1"/>
  <c r="E20" i="4" s="1"/>
  <c r="D29" i="4"/>
  <c r="D58" i="4"/>
  <c r="D135" i="4"/>
  <c r="D71" i="4"/>
  <c r="D105" i="4"/>
  <c r="D138" i="4"/>
  <c r="D75" i="4"/>
  <c r="D108" i="4"/>
  <c r="D44" i="4"/>
  <c r="D77" i="4"/>
  <c r="D110" i="4"/>
  <c r="D46" i="4"/>
  <c r="D33" i="4"/>
  <c r="D90" i="4"/>
  <c r="D97" i="4"/>
  <c r="D102" i="4"/>
  <c r="D34" i="4"/>
  <c r="D54" i="4"/>
  <c r="D106" i="4"/>
  <c r="D28" i="4"/>
  <c r="D27" i="4"/>
  <c r="D111" i="4"/>
  <c r="D47" i="4"/>
  <c r="D81" i="4"/>
  <c r="D115" i="4"/>
  <c r="D51" i="4"/>
  <c r="D84" i="4"/>
  <c r="D117" i="4"/>
  <c r="D53" i="4"/>
  <c r="D86" i="4"/>
  <c r="D104" i="4"/>
  <c r="D82" i="4"/>
  <c r="D23" i="4"/>
  <c r="D64" i="4"/>
  <c r="D100" i="4"/>
  <c r="D69" i="4"/>
  <c r="D113" i="4"/>
  <c r="D52" i="4"/>
  <c r="D40" i="4"/>
  <c r="D38" i="4"/>
  <c r="D120" i="4"/>
  <c r="D98" i="4"/>
  <c r="D80" i="4"/>
  <c r="D26" i="4"/>
  <c r="D87" i="4"/>
  <c r="D121" i="4"/>
  <c r="D57" i="4"/>
  <c r="D91" i="4"/>
  <c r="D124" i="4"/>
  <c r="D60" i="4"/>
  <c r="D93" i="4"/>
  <c r="D126" i="4"/>
  <c r="D62" i="4"/>
  <c r="D32" i="4"/>
  <c r="D63" i="4"/>
  <c r="D131" i="4"/>
  <c r="D79" i="4"/>
  <c r="D83" i="4"/>
  <c r="D85" i="4"/>
  <c r="D8" i="4"/>
  <c r="D9" i="4" s="1"/>
  <c r="F20" i="4" l="1"/>
  <c r="G20" i="4" s="1"/>
  <c r="C21" i="4" s="1"/>
  <c r="E21" i="4" s="1"/>
  <c r="F21" i="4" s="1"/>
  <c r="G21" i="4" s="1"/>
  <c r="C22" i="4" s="1"/>
  <c r="E22" i="4" s="1"/>
  <c r="F22" i="4" s="1"/>
  <c r="G22" i="4" s="1"/>
  <c r="C23" i="4" s="1"/>
  <c r="E23" i="4" l="1"/>
  <c r="F23" i="4" s="1"/>
  <c r="G23" i="4" s="1"/>
  <c r="C24" i="4" s="1"/>
  <c r="E24" i="4" l="1"/>
  <c r="F24" i="4" s="1"/>
  <c r="G24" i="4" s="1"/>
  <c r="C25" i="4" s="1"/>
  <c r="E25" i="4" l="1"/>
  <c r="F25" i="4" s="1"/>
  <c r="G25" i="4" s="1"/>
  <c r="C26" i="4" s="1"/>
  <c r="E26" i="4" l="1"/>
  <c r="F26" i="4" s="1"/>
  <c r="G26" i="4" s="1"/>
  <c r="C27" i="4" s="1"/>
  <c r="E27" i="4" l="1"/>
  <c r="F27" i="4" s="1"/>
  <c r="G27" i="4" s="1"/>
  <c r="C28" i="4" s="1"/>
  <c r="E28" i="4" l="1"/>
  <c r="F28" i="4" s="1"/>
  <c r="G28" i="4" s="1"/>
  <c r="C29" i="4" s="1"/>
  <c r="E29" i="4" l="1"/>
  <c r="F29" i="4" s="1"/>
  <c r="G29" i="4" s="1"/>
  <c r="C30" i="4" s="1"/>
  <c r="E30" i="4" l="1"/>
  <c r="F30" i="4" s="1"/>
  <c r="G30" i="4" s="1"/>
  <c r="C31" i="4" s="1"/>
  <c r="E31" i="4" l="1"/>
  <c r="F31" i="4" s="1"/>
  <c r="G31" i="4" s="1"/>
  <c r="C32" i="4" s="1"/>
  <c r="E32" i="4" l="1"/>
  <c r="F32" i="4" s="1"/>
  <c r="G32" i="4" s="1"/>
  <c r="C33" i="4" s="1"/>
  <c r="E33" i="4" l="1"/>
  <c r="F33" i="4" s="1"/>
  <c r="G33" i="4" s="1"/>
  <c r="C34" i="4" s="1"/>
  <c r="E34" i="4" l="1"/>
  <c r="F34" i="4" s="1"/>
  <c r="G34" i="4" s="1"/>
  <c r="C35" i="4" s="1"/>
  <c r="E35" i="4" l="1"/>
  <c r="F35" i="4" s="1"/>
  <c r="G35" i="4" s="1"/>
  <c r="C36" i="4" s="1"/>
  <c r="E36" i="4" l="1"/>
  <c r="F36" i="4" s="1"/>
  <c r="G36" i="4" s="1"/>
  <c r="C37" i="4" s="1"/>
  <c r="E37" i="4" l="1"/>
  <c r="F37" i="4" s="1"/>
  <c r="G37" i="4" s="1"/>
  <c r="C38" i="4" s="1"/>
  <c r="E38" i="4" l="1"/>
  <c r="F38" i="4" s="1"/>
  <c r="G38" i="4" s="1"/>
  <c r="C39" i="4" s="1"/>
  <c r="E39" i="4" l="1"/>
  <c r="F39" i="4" s="1"/>
  <c r="G39" i="4" s="1"/>
  <c r="C40" i="4" s="1"/>
  <c r="E40" i="4" l="1"/>
  <c r="F40" i="4" s="1"/>
  <c r="G40" i="4" s="1"/>
  <c r="C41" i="4" s="1"/>
  <c r="E41" i="4" l="1"/>
  <c r="F41" i="4" s="1"/>
  <c r="G41" i="4" s="1"/>
  <c r="C42" i="4" s="1"/>
  <c r="E42" i="4" l="1"/>
  <c r="F42" i="4" s="1"/>
  <c r="G42" i="4" s="1"/>
  <c r="C43" i="4" s="1"/>
  <c r="E43" i="4" l="1"/>
  <c r="F43" i="4" s="1"/>
  <c r="G43" i="4" s="1"/>
  <c r="C44" i="4" s="1"/>
  <c r="E44" i="4" l="1"/>
  <c r="F44" i="4" s="1"/>
  <c r="G44" i="4" s="1"/>
  <c r="C45" i="4" s="1"/>
  <c r="E45" i="4" l="1"/>
  <c r="F45" i="4" s="1"/>
  <c r="G45" i="4" s="1"/>
  <c r="C46" i="4" s="1"/>
  <c r="E46" i="4" l="1"/>
  <c r="F46" i="4" s="1"/>
  <c r="G46" i="4" s="1"/>
  <c r="C47" i="4" s="1"/>
  <c r="E47" i="4" l="1"/>
  <c r="F47" i="4" s="1"/>
  <c r="G47" i="4" s="1"/>
  <c r="C48" i="4" s="1"/>
  <c r="E48" i="4" l="1"/>
  <c r="F48" i="4" s="1"/>
  <c r="G48" i="4" s="1"/>
  <c r="C49" i="4" s="1"/>
  <c r="E49" i="4" l="1"/>
  <c r="F49" i="4" s="1"/>
  <c r="G49" i="4" s="1"/>
  <c r="C50" i="4" s="1"/>
  <c r="E50" i="4" l="1"/>
  <c r="F50" i="4" s="1"/>
  <c r="G50" i="4" s="1"/>
  <c r="C51" i="4" s="1"/>
  <c r="E51" i="4" l="1"/>
  <c r="F51" i="4" s="1"/>
  <c r="G51" i="4" s="1"/>
  <c r="C52" i="4" s="1"/>
  <c r="E52" i="4" l="1"/>
  <c r="F52" i="4" s="1"/>
  <c r="G52" i="4" s="1"/>
  <c r="C53" i="4" s="1"/>
  <c r="E53" i="4" l="1"/>
  <c r="F53" i="4" s="1"/>
  <c r="G53" i="4" s="1"/>
  <c r="C54" i="4" s="1"/>
  <c r="E54" i="4" l="1"/>
  <c r="F54" i="4" s="1"/>
  <c r="G54" i="4" s="1"/>
  <c r="C55" i="4" s="1"/>
  <c r="E55" i="4" l="1"/>
  <c r="F55" i="4" s="1"/>
  <c r="G55" i="4" s="1"/>
  <c r="C56" i="4" s="1"/>
  <c r="E56" i="4" l="1"/>
  <c r="F56" i="4" s="1"/>
  <c r="G56" i="4" s="1"/>
  <c r="C57" i="4" s="1"/>
  <c r="E57" i="4" l="1"/>
  <c r="F57" i="4" s="1"/>
  <c r="G57" i="4" s="1"/>
  <c r="C58" i="4" s="1"/>
  <c r="E58" i="4" l="1"/>
  <c r="F58" i="4" s="1"/>
  <c r="G58" i="4" s="1"/>
  <c r="C59" i="4" s="1"/>
  <c r="E59" i="4" l="1"/>
  <c r="F59" i="4" s="1"/>
  <c r="G59" i="4" s="1"/>
  <c r="C60" i="4" s="1"/>
  <c r="E60" i="4" l="1"/>
  <c r="F60" i="4" s="1"/>
  <c r="G60" i="4" s="1"/>
  <c r="C61" i="4" s="1"/>
  <c r="E61" i="4" l="1"/>
  <c r="F61" i="4" s="1"/>
  <c r="G61" i="4" s="1"/>
  <c r="C62" i="4" s="1"/>
  <c r="E62" i="4" l="1"/>
  <c r="F62" i="4" s="1"/>
  <c r="G62" i="4" s="1"/>
  <c r="C63" i="4" s="1"/>
  <c r="E63" i="4" l="1"/>
  <c r="F63" i="4" s="1"/>
  <c r="G63" i="4" s="1"/>
  <c r="C64" i="4" s="1"/>
  <c r="E64" i="4" l="1"/>
  <c r="F64" i="4" s="1"/>
  <c r="G64" i="4" s="1"/>
  <c r="C65" i="4" s="1"/>
  <c r="E65" i="4" l="1"/>
  <c r="F65" i="4" s="1"/>
  <c r="G65" i="4" s="1"/>
  <c r="C66" i="4" s="1"/>
  <c r="E66" i="4" l="1"/>
  <c r="F66" i="4" s="1"/>
  <c r="G66" i="4" s="1"/>
  <c r="C67" i="4" s="1"/>
  <c r="E67" i="4" l="1"/>
  <c r="F67" i="4" s="1"/>
  <c r="G67" i="4" s="1"/>
  <c r="C68" i="4" s="1"/>
  <c r="E68" i="4" l="1"/>
  <c r="F68" i="4" s="1"/>
  <c r="G68" i="4" s="1"/>
  <c r="C69" i="4" s="1"/>
  <c r="E69" i="4" l="1"/>
  <c r="F69" i="4" s="1"/>
  <c r="G69" i="4" s="1"/>
  <c r="C70" i="4" s="1"/>
  <c r="E70" i="4" l="1"/>
  <c r="F70" i="4" s="1"/>
  <c r="G70" i="4" s="1"/>
  <c r="C71" i="4" s="1"/>
  <c r="E71" i="4" l="1"/>
  <c r="F71" i="4" s="1"/>
  <c r="G71" i="4" s="1"/>
  <c r="C72" i="4" s="1"/>
  <c r="E72" i="4" l="1"/>
  <c r="F72" i="4" s="1"/>
  <c r="G72" i="4" s="1"/>
  <c r="C73" i="4" s="1"/>
  <c r="E73" i="4" l="1"/>
  <c r="F73" i="4" s="1"/>
  <c r="G73" i="4" s="1"/>
  <c r="C74" i="4" s="1"/>
  <c r="E74" i="4" l="1"/>
  <c r="F74" i="4" s="1"/>
  <c r="G74" i="4" s="1"/>
  <c r="C75" i="4" s="1"/>
  <c r="E75" i="4" l="1"/>
  <c r="F75" i="4" s="1"/>
  <c r="G75" i="4" s="1"/>
  <c r="C76" i="4" s="1"/>
  <c r="E76" i="4" l="1"/>
  <c r="F76" i="4" s="1"/>
  <c r="G76" i="4" s="1"/>
  <c r="C77" i="4" s="1"/>
  <c r="E77" i="4" l="1"/>
  <c r="F77" i="4" s="1"/>
  <c r="G77" i="4" s="1"/>
  <c r="C78" i="4" s="1"/>
  <c r="E78" i="4" l="1"/>
  <c r="F78" i="4" s="1"/>
  <c r="G78" i="4" s="1"/>
  <c r="C79" i="4" s="1"/>
  <c r="E79" i="4" l="1"/>
  <c r="F79" i="4" s="1"/>
  <c r="G79" i="4" s="1"/>
  <c r="C80" i="4" s="1"/>
  <c r="E80" i="4" l="1"/>
  <c r="F80" i="4" s="1"/>
  <c r="G80" i="4" s="1"/>
  <c r="C81" i="4" s="1"/>
  <c r="E81" i="4" l="1"/>
  <c r="F81" i="4" s="1"/>
  <c r="G81" i="4" s="1"/>
  <c r="C82" i="4" s="1"/>
  <c r="E82" i="4" l="1"/>
  <c r="F82" i="4" s="1"/>
  <c r="G82" i="4" s="1"/>
  <c r="C83" i="4" s="1"/>
  <c r="E83" i="4" l="1"/>
  <c r="F83" i="4" s="1"/>
  <c r="G83" i="4" s="1"/>
  <c r="C84" i="4" s="1"/>
  <c r="E84" i="4" l="1"/>
  <c r="F84" i="4" s="1"/>
  <c r="G84" i="4" s="1"/>
  <c r="C85" i="4" s="1"/>
  <c r="E85" i="4" l="1"/>
  <c r="F85" i="4" s="1"/>
  <c r="G85" i="4" s="1"/>
  <c r="C86" i="4" s="1"/>
  <c r="E86" i="4" l="1"/>
  <c r="F86" i="4" s="1"/>
  <c r="G86" i="4" s="1"/>
  <c r="C87" i="4" s="1"/>
  <c r="E87" i="4" l="1"/>
  <c r="F87" i="4" s="1"/>
  <c r="G87" i="4" s="1"/>
  <c r="C88" i="4" s="1"/>
  <c r="E88" i="4" l="1"/>
  <c r="F88" i="4" s="1"/>
  <c r="G88" i="4" s="1"/>
  <c r="C89" i="4" s="1"/>
  <c r="E89" i="4" l="1"/>
  <c r="F89" i="4" s="1"/>
  <c r="G89" i="4" s="1"/>
  <c r="C90" i="4" s="1"/>
  <c r="E90" i="4" l="1"/>
  <c r="F90" i="4" s="1"/>
  <c r="G90" i="4" s="1"/>
  <c r="C91" i="4" s="1"/>
  <c r="E91" i="4" l="1"/>
  <c r="F91" i="4" s="1"/>
  <c r="G91" i="4" s="1"/>
  <c r="C92" i="4" s="1"/>
  <c r="E92" i="4" l="1"/>
  <c r="F92" i="4" s="1"/>
  <c r="G92" i="4" s="1"/>
  <c r="C93" i="4" s="1"/>
  <c r="E93" i="4" l="1"/>
  <c r="F93" i="4" s="1"/>
  <c r="G93" i="4" s="1"/>
  <c r="C94" i="4" s="1"/>
  <c r="E94" i="4" l="1"/>
  <c r="F94" i="4" s="1"/>
  <c r="G94" i="4" s="1"/>
  <c r="C95" i="4" s="1"/>
  <c r="E95" i="4" l="1"/>
  <c r="F95" i="4" s="1"/>
  <c r="G95" i="4" s="1"/>
  <c r="C96" i="4" s="1"/>
  <c r="E96" i="4" l="1"/>
  <c r="F96" i="4" s="1"/>
  <c r="G96" i="4" s="1"/>
  <c r="C97" i="4" s="1"/>
  <c r="E97" i="4" l="1"/>
  <c r="F97" i="4" s="1"/>
  <c r="G97" i="4" s="1"/>
  <c r="C98" i="4" s="1"/>
  <c r="E98" i="4" l="1"/>
  <c r="F98" i="4" s="1"/>
  <c r="G98" i="4" s="1"/>
  <c r="C99" i="4" s="1"/>
  <c r="E99" i="4" l="1"/>
  <c r="F99" i="4" s="1"/>
  <c r="G99" i="4" s="1"/>
  <c r="C100" i="4" s="1"/>
  <c r="E100" i="4" l="1"/>
  <c r="F100" i="4" s="1"/>
  <c r="G100" i="4" s="1"/>
  <c r="C101" i="4" s="1"/>
  <c r="E101" i="4" l="1"/>
  <c r="F101" i="4" s="1"/>
  <c r="G101" i="4" s="1"/>
  <c r="C102" i="4" s="1"/>
  <c r="E102" i="4" l="1"/>
  <c r="F102" i="4" s="1"/>
  <c r="G102" i="4" s="1"/>
  <c r="C103" i="4" s="1"/>
  <c r="E103" i="4" l="1"/>
  <c r="F103" i="4" s="1"/>
  <c r="G103" i="4" s="1"/>
  <c r="C104" i="4" s="1"/>
  <c r="E104" i="4" l="1"/>
  <c r="F104" i="4" s="1"/>
  <c r="G104" i="4" s="1"/>
  <c r="C105" i="4" s="1"/>
  <c r="E105" i="4" l="1"/>
  <c r="F105" i="4" s="1"/>
  <c r="G105" i="4" s="1"/>
  <c r="C106" i="4" s="1"/>
  <c r="E106" i="4" l="1"/>
  <c r="F106" i="4" s="1"/>
  <c r="G106" i="4" s="1"/>
  <c r="C107" i="4" s="1"/>
  <c r="E107" i="4" l="1"/>
  <c r="F107" i="4" s="1"/>
  <c r="G107" i="4" s="1"/>
  <c r="C108" i="4" s="1"/>
  <c r="E108" i="4" l="1"/>
  <c r="F108" i="4" s="1"/>
  <c r="G108" i="4" s="1"/>
  <c r="C109" i="4" s="1"/>
  <c r="E109" i="4" l="1"/>
  <c r="F109" i="4" s="1"/>
  <c r="G109" i="4" s="1"/>
  <c r="C110" i="4" s="1"/>
  <c r="E110" i="4" l="1"/>
  <c r="F110" i="4" s="1"/>
  <c r="G110" i="4" s="1"/>
  <c r="C111" i="4" s="1"/>
  <c r="E111" i="4" l="1"/>
  <c r="F111" i="4" s="1"/>
  <c r="G111" i="4" s="1"/>
  <c r="C112" i="4" s="1"/>
  <c r="E112" i="4" l="1"/>
  <c r="F112" i="4" s="1"/>
  <c r="G112" i="4" s="1"/>
  <c r="C113" i="4" s="1"/>
  <c r="E113" i="4" l="1"/>
  <c r="F113" i="4" s="1"/>
  <c r="G113" i="4" s="1"/>
  <c r="C114" i="4" s="1"/>
  <c r="E114" i="4" l="1"/>
  <c r="F114" i="4" s="1"/>
  <c r="G114" i="4" s="1"/>
  <c r="C115" i="4" s="1"/>
  <c r="E115" i="4" l="1"/>
  <c r="F115" i="4" s="1"/>
  <c r="G115" i="4" s="1"/>
  <c r="C116" i="4" s="1"/>
  <c r="E116" i="4" l="1"/>
  <c r="F116" i="4" s="1"/>
  <c r="G116" i="4" s="1"/>
  <c r="C117" i="4" s="1"/>
  <c r="E117" i="4" l="1"/>
  <c r="F117" i="4" s="1"/>
  <c r="G117" i="4" s="1"/>
  <c r="C118" i="4" s="1"/>
  <c r="E118" i="4" l="1"/>
  <c r="F118" i="4" s="1"/>
  <c r="G118" i="4" s="1"/>
  <c r="C119" i="4" s="1"/>
  <c r="E119" i="4" l="1"/>
  <c r="F119" i="4" s="1"/>
  <c r="G119" i="4" s="1"/>
  <c r="C120" i="4" s="1"/>
  <c r="E120" i="4" l="1"/>
  <c r="F120" i="4" s="1"/>
  <c r="G120" i="4" s="1"/>
  <c r="C121" i="4" s="1"/>
  <c r="E121" i="4" l="1"/>
  <c r="F121" i="4" s="1"/>
  <c r="G121" i="4" s="1"/>
  <c r="C122" i="4" s="1"/>
  <c r="E122" i="4" l="1"/>
  <c r="F122" i="4" s="1"/>
  <c r="G122" i="4" s="1"/>
  <c r="C123" i="4" s="1"/>
  <c r="E123" i="4" l="1"/>
  <c r="F123" i="4" s="1"/>
  <c r="G123" i="4" s="1"/>
  <c r="C124" i="4" s="1"/>
  <c r="E124" i="4" l="1"/>
  <c r="F124" i="4" s="1"/>
  <c r="G124" i="4" s="1"/>
  <c r="C125" i="4" s="1"/>
  <c r="E125" i="4" l="1"/>
  <c r="F125" i="4" s="1"/>
  <c r="G125" i="4" s="1"/>
  <c r="C126" i="4" s="1"/>
  <c r="E126" i="4" l="1"/>
  <c r="F126" i="4" s="1"/>
  <c r="G126" i="4" s="1"/>
  <c r="C127" i="4" s="1"/>
  <c r="E127" i="4" l="1"/>
  <c r="F127" i="4" s="1"/>
  <c r="G127" i="4" s="1"/>
  <c r="C128" i="4" s="1"/>
  <c r="E128" i="4" l="1"/>
  <c r="F128" i="4" s="1"/>
  <c r="G128" i="4" s="1"/>
  <c r="C129" i="4" s="1"/>
  <c r="E129" i="4" l="1"/>
  <c r="F129" i="4" s="1"/>
  <c r="G129" i="4" s="1"/>
  <c r="C130" i="4" s="1"/>
  <c r="E130" i="4" l="1"/>
  <c r="F130" i="4" s="1"/>
  <c r="G130" i="4" s="1"/>
  <c r="C131" i="4" s="1"/>
  <c r="E131" i="4" l="1"/>
  <c r="F131" i="4" s="1"/>
  <c r="G131" i="4" s="1"/>
  <c r="C132" i="4" s="1"/>
  <c r="E132" i="4" l="1"/>
  <c r="F132" i="4" s="1"/>
  <c r="G132" i="4" s="1"/>
  <c r="C133" i="4" s="1"/>
  <c r="E133" i="4" l="1"/>
  <c r="F133" i="4" s="1"/>
  <c r="G133" i="4" s="1"/>
  <c r="C134" i="4" s="1"/>
  <c r="E134" i="4" l="1"/>
  <c r="F134" i="4" s="1"/>
  <c r="G134" i="4" s="1"/>
  <c r="C135" i="4" s="1"/>
  <c r="E135" i="4" l="1"/>
  <c r="F135" i="4" s="1"/>
  <c r="G135" i="4" s="1"/>
  <c r="C136" i="4" s="1"/>
  <c r="E136" i="4" l="1"/>
  <c r="F136" i="4" s="1"/>
  <c r="G136" i="4" s="1"/>
  <c r="C137" i="4" s="1"/>
  <c r="E137" i="4" l="1"/>
  <c r="F137" i="4" s="1"/>
  <c r="G137" i="4" s="1"/>
  <c r="C138" i="4" s="1"/>
  <c r="E138" i="4" l="1"/>
  <c r="F138" i="4" s="1"/>
  <c r="G138" i="4" s="1"/>
</calcChain>
</file>

<file path=xl/sharedStrings.xml><?xml version="1.0" encoding="utf-8"?>
<sst xmlns="http://schemas.openxmlformats.org/spreadsheetml/2006/main" count="189" uniqueCount="180">
  <si>
    <t>COOPERATIVA MIXTA DE FARMACÉUTICOS DE HONDURAS (COMIFARH)</t>
  </si>
  <si>
    <t>SOLICITUD DE PRÉSTAMO HIPOTECARIO</t>
  </si>
  <si>
    <t>RESUMEN DEL CRÉDITO</t>
  </si>
  <si>
    <t>Valor avalúo (L)</t>
  </si>
  <si>
    <t>Monto máximo (80%)</t>
  </si>
  <si>
    <t>Monto solicitado (L)</t>
  </si>
  <si>
    <t>Plazo (meses)</t>
  </si>
  <si>
    <t>Tasa anual</t>
  </si>
  <si>
    <t>Cuota estimada</t>
  </si>
  <si>
    <t>Relación LTV</t>
  </si>
  <si>
    <t>I. DATOS GENERALES DEL SOLICITANTE</t>
  </si>
  <si>
    <t>Fecha de solicitud</t>
  </si>
  <si>
    <t>Número de asociado</t>
  </si>
  <si>
    <t>Nombre completo</t>
  </si>
  <si>
    <t>Tipo de identificación</t>
  </si>
  <si>
    <t>Número de identificación</t>
  </si>
  <si>
    <t>Fecha de nacimiento</t>
  </si>
  <si>
    <t>Estado civil</t>
  </si>
  <si>
    <t>Dirección completa</t>
  </si>
  <si>
    <t>Departamento</t>
  </si>
  <si>
    <t>Municipio</t>
  </si>
  <si>
    <t>Teléfono</t>
  </si>
  <si>
    <t>Correo electrónico</t>
  </si>
  <si>
    <t>II. INFORMACIÓN LABORAL</t>
  </si>
  <si>
    <t>Condición laboral</t>
  </si>
  <si>
    <t>Nombre del patrono / empresa</t>
  </si>
  <si>
    <t>Cargo o actividad</t>
  </si>
  <si>
    <t>Ingreso mensual neto (L)</t>
  </si>
  <si>
    <t>III. DETALLE DEL PRÉSTAMO HIPOTECARIO</t>
  </si>
  <si>
    <t>Plazo solicitado (meses)</t>
  </si>
  <si>
    <t>Forma de pago</t>
  </si>
  <si>
    <t>Destino del crédito</t>
  </si>
  <si>
    <t>Descripción del destino</t>
  </si>
  <si>
    <t>Fecha de primer pago (opcional)</t>
  </si>
  <si>
    <t>IV. GARANTÍA HIPOTECARIA (SIN AVALES)</t>
  </si>
  <si>
    <t>Tipo de inmueble</t>
  </si>
  <si>
    <t>Dirección del inmueble</t>
  </si>
  <si>
    <t>Departamento (Inmueble)</t>
  </si>
  <si>
    <t>Municipio (Inmueble)</t>
  </si>
  <si>
    <t>Propietario registral</t>
  </si>
  <si>
    <t>No. de escritura / instrumento</t>
  </si>
  <si>
    <t>No. de finca / folio / tomo (registro)</t>
  </si>
  <si>
    <t>¿Libre de gravámenes? (certificación)</t>
  </si>
  <si>
    <t>Valor de avalúo (L)</t>
  </si>
  <si>
    <t>Monto máximo permitido (80% avalúo) (L)</t>
  </si>
  <si>
    <t>¿Seguro de deuda endosado a COMIFARH?</t>
  </si>
  <si>
    <t>¿Seguro del bien endosado a COMIFARH?</t>
  </si>
  <si>
    <t>No. póliza seguro deuda</t>
  </si>
  <si>
    <t>No. póliza seguro bien</t>
  </si>
  <si>
    <t>V. REFERENCIAS PERSONALES (No convivientes)</t>
  </si>
  <si>
    <t>Referencia 1 - Nombre</t>
  </si>
  <si>
    <t>Referencia 1 - Parentesco</t>
  </si>
  <si>
    <t>Referencia 1 - Teléfono</t>
  </si>
  <si>
    <t>Referencia 2 - Nombre</t>
  </si>
  <si>
    <t>Referencia 2 - Parentesco</t>
  </si>
  <si>
    <t>Referencia 2 - Teléfono</t>
  </si>
  <si>
    <t>VI. DECLARACIÓN</t>
  </si>
  <si>
    <t>Declaro que la información proporcionada es verdadera y autorizo a la cooperativa a verificar los datos consignados. Entiendo que este préstamo se garantiza con hipoteca registrada y requiere seguros endosados a nombre de COMIFARH.</t>
  </si>
  <si>
    <t>Lugar y fecha</t>
  </si>
  <si>
    <t>Firma del solicitante</t>
  </si>
  <si>
    <t>VII. USO EXCLUSIVO DE LA COOPERATIVA</t>
  </si>
  <si>
    <t>Número de solicitud</t>
  </si>
  <si>
    <t>Fecha de recepción</t>
  </si>
  <si>
    <t>Analista de crédito</t>
  </si>
  <si>
    <t>Recomendación</t>
  </si>
  <si>
    <t>Monto aprobado (L)</t>
  </si>
  <si>
    <t>Plazo aprobado (meses)</t>
  </si>
  <si>
    <t>Firma y sello</t>
  </si>
  <si>
    <t>CHECKLIST (marque): ☐ Identidad ☐ RTN (si aplica) ☐ Escritura ☐ Avalúo ☐ Certificación libertad de gravamen ☐ Seguro de deuda endosado ☐ Seguro del bien endosado ☐ Otros</t>
  </si>
  <si>
    <t>tipo_id</t>
  </si>
  <si>
    <t>DNI</t>
  </si>
  <si>
    <t>RTN</t>
  </si>
  <si>
    <t>Pasaporte</t>
  </si>
  <si>
    <t>estado_civil</t>
  </si>
  <si>
    <t>Soltero(a)</t>
  </si>
  <si>
    <t>Casado(a)</t>
  </si>
  <si>
    <t>Unión libre</t>
  </si>
  <si>
    <t>Divorciado(a)</t>
  </si>
  <si>
    <t>Viudo(a)</t>
  </si>
  <si>
    <t>cond_laboral</t>
  </si>
  <si>
    <t>Empleado(a) público</t>
  </si>
  <si>
    <t>Empleado(a) privado</t>
  </si>
  <si>
    <t>Negocio propio</t>
  </si>
  <si>
    <t>Jubilado(a)</t>
  </si>
  <si>
    <t>plazo</t>
  </si>
  <si>
    <t>forma_pago</t>
  </si>
  <si>
    <t>Deducción por planilla</t>
  </si>
  <si>
    <t>Pago en ventanilla</t>
  </si>
  <si>
    <t>Transferencia bancaria</t>
  </si>
  <si>
    <t>destino</t>
  </si>
  <si>
    <t>Vivienda</t>
  </si>
  <si>
    <t>Mejoras/Remodelación</t>
  </si>
  <si>
    <t>Compra de lote</t>
  </si>
  <si>
    <t>Consolidación</t>
  </si>
  <si>
    <t>Otro</t>
  </si>
  <si>
    <t>parentesco</t>
  </si>
  <si>
    <t>Familiar</t>
  </si>
  <si>
    <t>Amistad</t>
  </si>
  <si>
    <t>recomendacion</t>
  </si>
  <si>
    <t>Aprobado</t>
  </si>
  <si>
    <t>Condicionado</t>
  </si>
  <si>
    <t>Rechazado</t>
  </si>
  <si>
    <t>si_no</t>
  </si>
  <si>
    <t>Sí</t>
  </si>
  <si>
    <t>No</t>
  </si>
  <si>
    <t>tipo_inmueble</t>
  </si>
  <si>
    <t>Casa</t>
  </si>
  <si>
    <t>Apartamento</t>
  </si>
  <si>
    <t>Terreno</t>
  </si>
  <si>
    <t>Local comercial</t>
  </si>
  <si>
    <t>departamento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</si>
  <si>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</si>
  <si>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</si>
  <si>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</si>
  <si>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</si>
  <si>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</si>
  <si>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</si>
  <si>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</si>
  <si>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</t>
  </si>
  <si>
    <t>Gracias a Dios</t>
  </si>
  <si>
    <t>Intibucá</t>
  </si>
  <si>
    <t>Islas de la Bahía</t>
  </si>
  <si>
    <t>La Paz</t>
  </si>
  <si>
    <t>Lempira</t>
  </si>
  <si>
    <t>Ocotepeque</t>
  </si>
  <si>
    <t>Olancho</t>
  </si>
  <si>
    <t>Santa Bárbara</t>
  </si>
  <si>
    <t>Valle</t>
  </si>
  <si>
    <t>Yoro</t>
  </si>
  <si>
    <t>ANÁLISIS DE CRÉDITO – PRÉSTAMO HIPOTECARIO (COMIFARH)</t>
  </si>
  <si>
    <t>1) PARÁMETROS</t>
  </si>
  <si>
    <t>Tasa anual hipotecario</t>
  </si>
  <si>
    <t>Referencia: Hipotecario 10% anual</t>
  </si>
  <si>
    <t>LTV máximo (sobre avalúo)</t>
  </si>
  <si>
    <t>Referencia: se presta 80% del avalúo</t>
  </si>
  <si>
    <t>Plazo máximo (meses)</t>
  </si>
  <si>
    <t>Referencia: plazo máx. 120 meses</t>
  </si>
  <si>
    <t>Máx. deuda/ingreso neto</t>
  </si>
  <si>
    <t>Política general: deuda ≤ 30% ingreso neto</t>
  </si>
  <si>
    <t>2) DATOS (desde Solicitud)</t>
  </si>
  <si>
    <t>3) VALIDACIONES Y CÁLCULO</t>
  </si>
  <si>
    <t>Monto máximo permitido (L)</t>
  </si>
  <si>
    <t>Tasa mensual</t>
  </si>
  <si>
    <t>Cuota mensual estimada (L)</t>
  </si>
  <si>
    <t>Relación cuota/ingreso (%)</t>
  </si>
  <si>
    <t>Cumple monto ≤ máximo</t>
  </si>
  <si>
    <t>Cumple plazo ≤ máximo</t>
  </si>
  <si>
    <t>Cumple cuota/ingreso ≤ límite</t>
  </si>
  <si>
    <t>4) DICTAMEN</t>
  </si>
  <si>
    <t>Dictamen del analista</t>
  </si>
  <si>
    <t>Observaciones y condiciones</t>
  </si>
  <si>
    <t>Recomendación final</t>
  </si>
  <si>
    <t>TABLA DE AMORTIZACIÓN – PRÉSTAMO HIPOTECARIO</t>
  </si>
  <si>
    <t>Principal</t>
  </si>
  <si>
    <t>Cuota (fórmula)</t>
  </si>
  <si>
    <t>#</t>
  </si>
  <si>
    <t>Fecha</t>
  </si>
  <si>
    <t>Saldo inicial</t>
  </si>
  <si>
    <t>Cuota</t>
  </si>
  <si>
    <t>Interés</t>
  </si>
  <si>
    <t>Capital</t>
  </si>
  <si>
    <t>Saldo final</t>
  </si>
  <si>
    <t>Cuota total (incluye aportación) (L)</t>
  </si>
  <si>
    <t>Aportación mensual vigente (L)</t>
  </si>
  <si>
    <t>CLIENTE:</t>
  </si>
  <si>
    <t xml:space="preserve">Gastos Operativos </t>
  </si>
  <si>
    <t>Aportaciones</t>
  </si>
  <si>
    <t>Tasa de Seguridad</t>
  </si>
  <si>
    <t>Cancelación Préstamo</t>
  </si>
  <si>
    <t>Total deducciones</t>
  </si>
  <si>
    <t>Total a desembolsar</t>
  </si>
  <si>
    <t>FECHAS:</t>
  </si>
  <si>
    <t>MONTO</t>
  </si>
  <si>
    <t>PLAZO</t>
  </si>
  <si>
    <t>TASA</t>
  </si>
  <si>
    <t>CUOTA</t>
  </si>
  <si>
    <t>Inicio</t>
  </si>
  <si>
    <t>Final</t>
  </si>
  <si>
    <t>Fecha 1er pago</t>
  </si>
  <si>
    <t>Cuota+Aport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</si>
</sst>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&quot;L&quot;#,##0.00"/>
    <numFmt numFmtId="166" formatCode="_-* #,##0.00\ _$_-;\-* #,##0.00\ _$_-;_-* &quot;-&quot;??\ _$_-;_-@_-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3"/>
      <color rgb="FF1F4E79"/>
      <name val="Calibri"/>
    </font>
    <font>
      <b/>
      <sz val="11"/>
      <color rgb="FF7F7F7F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color rgb="FF1F4E79"/>
      <name val="Calibri"/>
    </font>
    <font>
      <sz val="11"/>
      <color rgb="FF404040"/>
      <name val="Calibri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F7F7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1F4E79"/>
      <name val="Calibri"/>
      <family val="2"/>
    </font>
    <font>
      <i/>
      <sz val="12"/>
      <color rgb="FF404040"/>
      <name val="Calibri"/>
      <family val="2"/>
    </font>
    <font>
      <b/>
      <i/>
      <sz val="14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2"/>
      <color theme="4" tint="-0.499984740745262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</cellStyleXfs>
  <cellXfs count="73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/>
    <xf numFmtId="0" fontId="6" fillId="0" borderId="1" xfId="0" applyFont="1" applyBorder="1" applyAlignment="1">
      <alignment vertical="center"/>
    </xf>
    <xf numFmtId="14" fontId="0" fillId="5" borderId="1" xfId="0" applyNumberFormat="1" applyFill="1" applyBorder="1" applyProtection="1">
      <protection locked="0"/>
    </xf>
    <xf numFmtId="0" fontId="0" fillId="5" borderId="1" xfId="0" applyFill="1" applyBorder="1" applyProtection="1">
      <protection locked="0"/>
    </xf>
    <xf numFmtId="4" fontId="0" fillId="5" borderId="1" xfId="0" applyNumberFormat="1" applyFill="1" applyBorder="1" applyProtection="1">
      <protection locked="0"/>
    </xf>
    <xf numFmtId="14" fontId="0" fillId="4" borderId="1" xfId="0" applyNumberFormat="1" applyFill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5" borderId="6" xfId="0" applyNumberFormat="1" applyFill="1" applyBorder="1"/>
    <xf numFmtId="1" fontId="0" fillId="5" borderId="6" xfId="0" applyNumberFormat="1" applyFill="1" applyBorder="1"/>
    <xf numFmtId="10" fontId="0" fillId="5" borderId="6" xfId="0" applyNumberFormat="1" applyFill="1" applyBorder="1"/>
    <xf numFmtId="165" fontId="0" fillId="5" borderId="1" xfId="0" applyNumberFormat="1" applyFill="1" applyBorder="1" applyProtection="1">
      <protection locked="0"/>
    </xf>
    <xf numFmtId="0" fontId="13" fillId="0" borderId="1" xfId="0" applyFont="1" applyBorder="1"/>
    <xf numFmtId="0" fontId="14" fillId="0" borderId="1" xfId="0" applyFont="1" applyBorder="1"/>
    <xf numFmtId="10" fontId="13" fillId="4" borderId="1" xfId="0" applyNumberFormat="1" applyFont="1" applyFill="1" applyBorder="1" applyProtection="1">
      <protection locked="0"/>
    </xf>
    <xf numFmtId="0" fontId="15" fillId="0" borderId="1" xfId="0" applyFont="1" applyBorder="1" applyAlignment="1">
      <alignment wrapText="1"/>
    </xf>
    <xf numFmtId="0" fontId="13" fillId="4" borderId="1" xfId="0" applyFont="1" applyFill="1" applyBorder="1" applyProtection="1">
      <protection locked="0"/>
    </xf>
    <xf numFmtId="0" fontId="13" fillId="0" borderId="0" xfId="0" applyFont="1"/>
    <xf numFmtId="165" fontId="13" fillId="0" borderId="1" xfId="0" applyNumberFormat="1" applyFont="1" applyBorder="1"/>
    <xf numFmtId="4" fontId="13" fillId="0" borderId="1" xfId="0" applyNumberFormat="1" applyFont="1" applyBorder="1"/>
    <xf numFmtId="164" fontId="13" fillId="0" borderId="1" xfId="0" applyNumberFormat="1" applyFont="1" applyBorder="1"/>
    <xf numFmtId="10" fontId="13" fillId="0" borderId="1" xfId="0" applyNumberFormat="1" applyFont="1" applyBorder="1"/>
    <xf numFmtId="165" fontId="0" fillId="3" borderId="1" xfId="0" applyNumberFormat="1" applyFill="1" applyBorder="1" applyProtection="1">
      <protection locked="0"/>
    </xf>
    <xf numFmtId="0" fontId="14" fillId="0" borderId="1" xfId="0" applyFont="1" applyBorder="1" applyAlignment="1">
      <alignment vertical="center"/>
    </xf>
    <xf numFmtId="0" fontId="13" fillId="4" borderId="1" xfId="0" applyFont="1" applyFill="1" applyBorder="1" applyAlignment="1" applyProtection="1">
      <alignment vertical="center" wrapText="1"/>
      <protection locked="0"/>
    </xf>
    <xf numFmtId="0" fontId="13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6" fillId="6" borderId="2" xfId="1" applyFont="1" applyFill="1"/>
    <xf numFmtId="0" fontId="17" fillId="6" borderId="3" xfId="2" applyFont="1" applyFill="1" applyAlignment="1"/>
    <xf numFmtId="0" fontId="18" fillId="6" borderId="0" xfId="1" applyFont="1" applyFill="1" applyBorder="1"/>
    <xf numFmtId="0" fontId="19" fillId="6" borderId="0" xfId="0" applyFont="1" applyFill="1"/>
    <xf numFmtId="9" fontId="20" fillId="6" borderId="0" xfId="0" applyNumberFormat="1" applyFont="1" applyFill="1"/>
    <xf numFmtId="166" fontId="20" fillId="6" borderId="0" xfId="0" applyNumberFormat="1" applyFont="1" applyFill="1"/>
    <xf numFmtId="0" fontId="20" fillId="6" borderId="0" xfId="0" applyFont="1" applyFill="1"/>
    <xf numFmtId="0" fontId="0" fillId="6" borderId="0" xfId="0" applyFill="1"/>
    <xf numFmtId="0" fontId="18" fillId="6" borderId="0" xfId="1" applyFont="1" applyFill="1" applyBorder="1" applyAlignment="1"/>
    <xf numFmtId="166" fontId="10" fillId="6" borderId="4" xfId="3" applyNumberFormat="1" applyFill="1"/>
    <xf numFmtId="0" fontId="21" fillId="7" borderId="5" xfId="0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14" fontId="21" fillId="6" borderId="7" xfId="0" applyNumberFormat="1" applyFont="1" applyFill="1" applyBorder="1" applyAlignment="1">
      <alignment horizontal="center"/>
    </xf>
    <xf numFmtId="14" fontId="21" fillId="6" borderId="15" xfId="0" applyNumberFormat="1" applyFont="1" applyFill="1" applyBorder="1" applyAlignment="1">
      <alignment horizontal="center"/>
    </xf>
    <xf numFmtId="165" fontId="13" fillId="4" borderId="13" xfId="0" applyNumberFormat="1" applyFont="1" applyFill="1" applyBorder="1" applyAlignment="1">
      <alignment horizontal="center"/>
    </xf>
    <xf numFmtId="1" fontId="13" fillId="4" borderId="13" xfId="0" applyNumberFormat="1" applyFont="1" applyFill="1" applyBorder="1" applyAlignment="1">
      <alignment horizontal="center"/>
    </xf>
    <xf numFmtId="10" fontId="13" fillId="4" borderId="13" xfId="0" applyNumberFormat="1" applyFont="1" applyFill="1" applyBorder="1" applyAlignment="1">
      <alignment horizontal="center"/>
    </xf>
    <xf numFmtId="165" fontId="23" fillId="9" borderId="13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2" borderId="1" xfId="0" applyFont="1" applyFill="1" applyBorder="1" applyAlignment="1">
      <alignment vertical="center"/>
    </xf>
    <xf numFmtId="0" fontId="1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6" xfId="0" applyBorder="1"/>
    <xf numFmtId="0" fontId="0" fillId="5" borderId="1" xfId="0" applyFill="1" applyBorder="1" applyProtection="1">
      <protection locked="0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8" fillId="6" borderId="0" xfId="1" applyFont="1" applyFill="1" applyBorder="1" applyAlignment="1"/>
    <xf numFmtId="0" fontId="21" fillId="8" borderId="14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17" fillId="6" borderId="3" xfId="2" applyFont="1" applyFill="1" applyAlignment="1">
      <alignment horizontal="center"/>
    </xf>
  </cellXfs>
  <cellStyles count="4">
    <cellStyle name="Celda vinculada" xfId="2" builtinId="24"/>
    <cellStyle name="Normal" xfId="0" builtinId="0"/>
    <cellStyle name="Título 3" xfId="1" builtinId="18"/>
    <cellStyle name="Total" xfId="3" builtinId="25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4</xdr:row>
      <xdr:rowOff>114300</xdr:rowOff>
    </xdr:from>
    <xdr:to>
      <xdr:col>3</xdr:col>
      <xdr:colOff>628650</xdr:colOff>
      <xdr:row>11</xdr:row>
      <xdr:rowOff>90929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BD5002-28CF-49A6-A25E-081B1BCD3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5905500" y="1066800"/>
          <a:ext cx="1257300" cy="1310129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mortizacionHip" displayName="TablaAmortizacionHip" ref="A18:G138">
  <autoFilter ref="A18:G138" xr:uid="{00000000-0009-0000-0100-000001000000}"/>
  <tableColumns count="7">
    <tableColumn id="1" xr3:uid="{00000000-0010-0000-0000-000001000000}" name="#"/>
    <tableColumn id="2" xr3:uid="{00000000-0010-0000-0000-000002000000}" name="Fecha"/>
    <tableColumn id="3" xr3:uid="{00000000-0010-0000-0000-000003000000}" name="Saldo inicial"/>
    <tableColumn id="4" xr3:uid="{00000000-0010-0000-0000-000004000000}" name="Cuota"/>
    <tableColumn id="5" xr3:uid="{00000000-0010-0000-0000-000005000000}" name="Interés"/>
    <tableColumn id="6" xr3:uid="{00000000-0010-0000-0000-000006000000}" name="Capital"/>
    <tableColumn id="7" xr3:uid="{00000000-0010-0000-0000-000007000000}" name="Saldo 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showGridLines="0" topLeftCell="A63" zoomScale="120" zoomScaleNormal="120" workbookViewId="0">
      <selection activeCell="C74" sqref="C74"/>
    </sheetView>
  </sheetViews>
  <sheetFormatPr baseColWidth="10" defaultColWidth="9.140625" defaultRowHeight="15" x14ac:dyDescent="0.25"/>
  <cols>
    <col min="1" max="1" width="42" customWidth="1"/>
    <col min="2" max="2" width="34" customWidth="1"/>
    <col min="3" max="4" width="22" customWidth="1"/>
  </cols>
  <sheetData>
    <row r="1" spans="1:4" x14ac:dyDescent="0.25">
      <c r="A1" s="51" t="s">
        <v>0</v>
      </c>
      <c r="B1" s="52"/>
      <c r="C1" s="52"/>
      <c r="D1" s="52"/>
    </row>
    <row r="2" spans="1:4" x14ac:dyDescent="0.25">
      <c r="A2" s="52"/>
      <c r="B2" s="52"/>
      <c r="C2" s="52"/>
      <c r="D2" s="52"/>
    </row>
    <row r="3" spans="1:4" ht="17.25" x14ac:dyDescent="0.25">
      <c r="A3" s="59" t="s">
        <v>1</v>
      </c>
      <c r="B3" s="52"/>
      <c r="C3" s="52"/>
      <c r="D3" s="52"/>
    </row>
    <row r="4" spans="1:4" x14ac:dyDescent="0.25">
      <c r="D4" s="1"/>
    </row>
    <row r="5" spans="1:4" x14ac:dyDescent="0.25">
      <c r="A5" s="55" t="s">
        <v>2</v>
      </c>
      <c r="B5" s="56"/>
      <c r="C5" s="63"/>
      <c r="D5" s="64"/>
    </row>
    <row r="6" spans="1:4" x14ac:dyDescent="0.25">
      <c r="A6" s="4" t="s">
        <v>3</v>
      </c>
      <c r="B6" s="13">
        <f>B48</f>
        <v>0</v>
      </c>
      <c r="C6" s="65"/>
      <c r="D6" s="66"/>
    </row>
    <row r="7" spans="1:4" x14ac:dyDescent="0.25">
      <c r="A7" s="4" t="s">
        <v>4</v>
      </c>
      <c r="B7" s="13">
        <f>B49</f>
        <v>0</v>
      </c>
      <c r="C7" s="65"/>
      <c r="D7" s="66"/>
    </row>
    <row r="8" spans="1:4" x14ac:dyDescent="0.25">
      <c r="A8" s="4" t="s">
        <v>5</v>
      </c>
      <c r="B8" s="13">
        <f>B33</f>
        <v>0</v>
      </c>
      <c r="C8" s="65"/>
      <c r="D8" s="66"/>
    </row>
    <row r="9" spans="1:4" x14ac:dyDescent="0.25">
      <c r="A9" s="4" t="s">
        <v>6</v>
      </c>
      <c r="B9" s="14">
        <f>B34</f>
        <v>0</v>
      </c>
      <c r="C9" s="65"/>
      <c r="D9" s="66"/>
    </row>
    <row r="10" spans="1:4" x14ac:dyDescent="0.25">
      <c r="A10" s="4" t="s">
        <v>7</v>
      </c>
      <c r="B10" s="15">
        <f>'Análisis de Crédito'!B5</f>
        <v>0.1</v>
      </c>
      <c r="C10" s="65"/>
      <c r="D10" s="66"/>
    </row>
    <row r="11" spans="1:4" x14ac:dyDescent="0.25">
      <c r="A11" s="4" t="s">
        <v>8</v>
      </c>
      <c r="B11" s="13">
        <f>Amortización!F12</f>
        <v>0</v>
      </c>
      <c r="C11" s="65"/>
      <c r="D11" s="66"/>
    </row>
    <row r="12" spans="1:4" x14ac:dyDescent="0.25">
      <c r="A12" s="4" t="s">
        <v>9</v>
      </c>
      <c r="B12" s="15">
        <f>IF(B6=0,0,B8/B6)</f>
        <v>0</v>
      </c>
      <c r="C12" s="67"/>
      <c r="D12" s="68"/>
    </row>
    <row r="14" spans="1:4" x14ac:dyDescent="0.25">
      <c r="A14" s="60" t="s">
        <v>10</v>
      </c>
      <c r="B14" s="58"/>
      <c r="C14" s="58"/>
      <c r="D14" s="58"/>
    </row>
    <row r="15" spans="1:4" x14ac:dyDescent="0.25">
      <c r="A15" s="5" t="s">
        <v>11</v>
      </c>
      <c r="B15" s="6"/>
      <c r="C15" s="3"/>
      <c r="D15" s="3"/>
    </row>
    <row r="16" spans="1:4" x14ac:dyDescent="0.25">
      <c r="A16" s="5" t="s">
        <v>12</v>
      </c>
      <c r="B16" s="57"/>
      <c r="C16" s="58"/>
      <c r="D16" s="58"/>
    </row>
    <row r="17" spans="1:4" x14ac:dyDescent="0.25">
      <c r="A17" s="5" t="s">
        <v>13</v>
      </c>
      <c r="B17" s="57"/>
      <c r="C17" s="58"/>
      <c r="D17" s="58"/>
    </row>
    <row r="18" spans="1:4" x14ac:dyDescent="0.25">
      <c r="A18" s="5" t="s">
        <v>14</v>
      </c>
      <c r="B18" s="7"/>
      <c r="C18" s="3"/>
      <c r="D18" s="3"/>
    </row>
    <row r="19" spans="1:4" x14ac:dyDescent="0.25">
      <c r="A19" s="5" t="s">
        <v>15</v>
      </c>
      <c r="B19" s="57"/>
      <c r="C19" s="58"/>
      <c r="D19" s="58"/>
    </row>
    <row r="20" spans="1:4" x14ac:dyDescent="0.25">
      <c r="A20" s="5" t="s">
        <v>16</v>
      </c>
      <c r="B20" s="6"/>
      <c r="C20" s="3"/>
      <c r="D20" s="3"/>
    </row>
    <row r="21" spans="1:4" x14ac:dyDescent="0.25">
      <c r="A21" s="5" t="s">
        <v>17</v>
      </c>
      <c r="B21" s="7"/>
      <c r="C21" s="3"/>
      <c r="D21" s="3"/>
    </row>
    <row r="22" spans="1:4" x14ac:dyDescent="0.25">
      <c r="A22" s="5" t="s">
        <v>18</v>
      </c>
      <c r="B22" s="57"/>
      <c r="C22" s="58"/>
      <c r="D22" s="58"/>
    </row>
    <row r="23" spans="1:4" x14ac:dyDescent="0.25">
      <c r="A23" s="5" t="s">
        <v>19</v>
      </c>
      <c r="B23" s="7"/>
      <c r="C23" s="3"/>
      <c r="D23" s="3"/>
    </row>
    <row r="24" spans="1:4" x14ac:dyDescent="0.25">
      <c r="A24" s="5" t="s">
        <v>20</v>
      </c>
      <c r="B24" s="57"/>
      <c r="C24" s="58"/>
      <c r="D24" s="58"/>
    </row>
    <row r="25" spans="1:4" x14ac:dyDescent="0.25">
      <c r="A25" s="5" t="s">
        <v>21</v>
      </c>
      <c r="B25" s="7"/>
      <c r="C25" s="3"/>
      <c r="D25" s="3"/>
    </row>
    <row r="26" spans="1:4" x14ac:dyDescent="0.25">
      <c r="A26" s="5" t="s">
        <v>22</v>
      </c>
      <c r="B26" s="57"/>
      <c r="C26" s="58"/>
      <c r="D26" s="58"/>
    </row>
    <row r="27" spans="1:4" x14ac:dyDescent="0.25">
      <c r="A27" s="60" t="s">
        <v>23</v>
      </c>
      <c r="B27" s="58"/>
      <c r="C27" s="58"/>
      <c r="D27" s="58"/>
    </row>
    <row r="28" spans="1:4" x14ac:dyDescent="0.25">
      <c r="A28" s="5" t="s">
        <v>24</v>
      </c>
      <c r="B28" s="7"/>
      <c r="C28" s="3"/>
      <c r="D28" s="3"/>
    </row>
    <row r="29" spans="1:4" x14ac:dyDescent="0.25">
      <c r="A29" s="5" t="s">
        <v>25</v>
      </c>
      <c r="B29" s="57"/>
      <c r="C29" s="58"/>
      <c r="D29" s="58"/>
    </row>
    <row r="30" spans="1:4" x14ac:dyDescent="0.25">
      <c r="A30" s="5" t="s">
        <v>26</v>
      </c>
      <c r="B30" s="57"/>
      <c r="C30" s="58"/>
      <c r="D30" s="58"/>
    </row>
    <row r="31" spans="1:4" x14ac:dyDescent="0.25">
      <c r="A31" s="5" t="s">
        <v>27</v>
      </c>
      <c r="B31" s="16"/>
      <c r="C31" s="3"/>
      <c r="D31" s="3"/>
    </row>
    <row r="32" spans="1:4" x14ac:dyDescent="0.25">
      <c r="A32" s="60" t="s">
        <v>28</v>
      </c>
      <c r="B32" s="58"/>
      <c r="C32" s="58"/>
      <c r="D32" s="58"/>
    </row>
    <row r="33" spans="1:4" x14ac:dyDescent="0.25">
      <c r="A33" s="5" t="s">
        <v>5</v>
      </c>
      <c r="B33" s="16"/>
      <c r="C33" s="3"/>
      <c r="D33" s="3"/>
    </row>
    <row r="34" spans="1:4" x14ac:dyDescent="0.25">
      <c r="A34" s="5" t="s">
        <v>29</v>
      </c>
      <c r="B34" s="7"/>
      <c r="C34" s="3"/>
      <c r="D34" s="3"/>
    </row>
    <row r="35" spans="1:4" x14ac:dyDescent="0.25">
      <c r="A35" s="5" t="s">
        <v>30</v>
      </c>
      <c r="B35" s="7"/>
      <c r="C35" s="3"/>
      <c r="D35" s="3"/>
    </row>
    <row r="36" spans="1:4" x14ac:dyDescent="0.25">
      <c r="A36" s="5" t="s">
        <v>31</v>
      </c>
      <c r="B36" s="7"/>
      <c r="C36" s="3"/>
      <c r="D36" s="3"/>
    </row>
    <row r="37" spans="1:4" x14ac:dyDescent="0.25">
      <c r="A37" s="5" t="s">
        <v>32</v>
      </c>
      <c r="B37" s="57"/>
      <c r="C37" s="58"/>
      <c r="D37" s="58"/>
    </row>
    <row r="38" spans="1:4" x14ac:dyDescent="0.25">
      <c r="A38" s="5" t="s">
        <v>33</v>
      </c>
      <c r="B38" s="6"/>
      <c r="C38" s="3"/>
      <c r="D38" s="3"/>
    </row>
    <row r="39" spans="1:4" x14ac:dyDescent="0.25">
      <c r="A39" s="60" t="s">
        <v>34</v>
      </c>
      <c r="B39" s="58"/>
      <c r="C39" s="58"/>
      <c r="D39" s="58"/>
    </row>
    <row r="40" spans="1:4" x14ac:dyDescent="0.25">
      <c r="A40" s="5" t="s">
        <v>35</v>
      </c>
      <c r="B40" s="7"/>
      <c r="C40" s="3"/>
      <c r="D40" s="3"/>
    </row>
    <row r="41" spans="1:4" x14ac:dyDescent="0.25">
      <c r="A41" s="5" t="s">
        <v>36</v>
      </c>
      <c r="B41" s="57"/>
      <c r="C41" s="58"/>
      <c r="D41" s="58"/>
    </row>
    <row r="42" spans="1:4" x14ac:dyDescent="0.25">
      <c r="A42" s="5" t="s">
        <v>37</v>
      </c>
      <c r="B42" s="7"/>
      <c r="C42" s="3"/>
      <c r="D42" s="3"/>
    </row>
    <row r="43" spans="1:4" x14ac:dyDescent="0.25">
      <c r="A43" s="5" t="s">
        <v>38</v>
      </c>
      <c r="B43" s="57"/>
      <c r="C43" s="58"/>
      <c r="D43" s="58"/>
    </row>
    <row r="44" spans="1:4" x14ac:dyDescent="0.25">
      <c r="A44" s="5" t="s">
        <v>39</v>
      </c>
      <c r="B44" s="57"/>
      <c r="C44" s="58"/>
      <c r="D44" s="58"/>
    </row>
    <row r="45" spans="1:4" x14ac:dyDescent="0.25">
      <c r="A45" s="5" t="s">
        <v>40</v>
      </c>
      <c r="B45" s="57"/>
      <c r="C45" s="58"/>
      <c r="D45" s="58"/>
    </row>
    <row r="46" spans="1:4" x14ac:dyDescent="0.25">
      <c r="A46" s="5" t="s">
        <v>41</v>
      </c>
      <c r="B46" s="57"/>
      <c r="C46" s="58"/>
      <c r="D46" s="58"/>
    </row>
    <row r="47" spans="1:4" x14ac:dyDescent="0.25">
      <c r="A47" s="5" t="s">
        <v>42</v>
      </c>
      <c r="B47" s="7"/>
      <c r="C47" s="3"/>
      <c r="D47" s="3"/>
    </row>
    <row r="48" spans="1:4" x14ac:dyDescent="0.25">
      <c r="A48" s="5" t="s">
        <v>43</v>
      </c>
      <c r="B48" s="16"/>
      <c r="C48" s="3"/>
      <c r="D48" s="3"/>
    </row>
    <row r="49" spans="1:4" x14ac:dyDescent="0.25">
      <c r="A49" s="5" t="s">
        <v>44</v>
      </c>
      <c r="B49" s="27">
        <f>B48*0.8</f>
        <v>0</v>
      </c>
      <c r="C49" s="3"/>
      <c r="D49" s="3"/>
    </row>
    <row r="50" spans="1:4" x14ac:dyDescent="0.25">
      <c r="A50" s="5" t="s">
        <v>45</v>
      </c>
      <c r="B50" s="7"/>
      <c r="C50" s="3"/>
      <c r="D50" s="3"/>
    </row>
    <row r="51" spans="1:4" x14ac:dyDescent="0.25">
      <c r="A51" s="5" t="s">
        <v>46</v>
      </c>
      <c r="B51" s="7"/>
      <c r="C51" s="3"/>
      <c r="D51" s="3"/>
    </row>
    <row r="52" spans="1:4" x14ac:dyDescent="0.25">
      <c r="A52" s="5" t="s">
        <v>47</v>
      </c>
      <c r="B52" s="57"/>
      <c r="C52" s="58"/>
      <c r="D52" s="58"/>
    </row>
    <row r="53" spans="1:4" x14ac:dyDescent="0.25">
      <c r="A53" s="5" t="s">
        <v>48</v>
      </c>
      <c r="B53" s="57"/>
      <c r="C53" s="58"/>
      <c r="D53" s="58"/>
    </row>
    <row r="54" spans="1:4" x14ac:dyDescent="0.25">
      <c r="A54" s="5" t="s">
        <v>163</v>
      </c>
      <c r="B54" s="16"/>
      <c r="C54" s="3"/>
      <c r="D54" s="3"/>
    </row>
    <row r="55" spans="1:4" x14ac:dyDescent="0.25">
      <c r="A55" s="60" t="s">
        <v>49</v>
      </c>
      <c r="B55" s="58"/>
      <c r="C55" s="58"/>
      <c r="D55" s="58"/>
    </row>
    <row r="56" spans="1:4" x14ac:dyDescent="0.25">
      <c r="A56" s="5" t="s">
        <v>50</v>
      </c>
      <c r="B56" s="57"/>
      <c r="C56" s="58"/>
      <c r="D56" s="58"/>
    </row>
    <row r="57" spans="1:4" x14ac:dyDescent="0.25">
      <c r="A57" s="5" t="s">
        <v>51</v>
      </c>
      <c r="B57" s="7"/>
      <c r="C57" s="3"/>
      <c r="D57" s="3"/>
    </row>
    <row r="58" spans="1:4" x14ac:dyDescent="0.25">
      <c r="A58" s="5" t="s">
        <v>52</v>
      </c>
      <c r="B58" s="7"/>
      <c r="C58" s="3"/>
      <c r="D58" s="3"/>
    </row>
    <row r="59" spans="1:4" x14ac:dyDescent="0.25">
      <c r="A59" s="5" t="s">
        <v>53</v>
      </c>
      <c r="B59" s="57"/>
      <c r="C59" s="58"/>
      <c r="D59" s="58"/>
    </row>
    <row r="60" spans="1:4" x14ac:dyDescent="0.25">
      <c r="A60" s="5" t="s">
        <v>54</v>
      </c>
      <c r="B60" s="7"/>
      <c r="C60" s="3"/>
      <c r="D60" s="3"/>
    </row>
    <row r="61" spans="1:4" x14ac:dyDescent="0.25">
      <c r="A61" s="5" t="s">
        <v>55</v>
      </c>
      <c r="B61" s="7"/>
      <c r="C61" s="3"/>
      <c r="D61" s="3"/>
    </row>
    <row r="62" spans="1:4" x14ac:dyDescent="0.25">
      <c r="A62" s="60" t="s">
        <v>56</v>
      </c>
      <c r="B62" s="58"/>
      <c r="C62" s="58"/>
      <c r="D62" s="58"/>
    </row>
    <row r="63" spans="1:4" x14ac:dyDescent="0.25">
      <c r="A63" s="61" t="s">
        <v>57</v>
      </c>
      <c r="B63" s="58"/>
      <c r="C63" s="58"/>
      <c r="D63" s="58"/>
    </row>
    <row r="64" spans="1:4" x14ac:dyDescent="0.25">
      <c r="A64" s="58"/>
      <c r="B64" s="58"/>
      <c r="C64" s="58"/>
      <c r="D64" s="58"/>
    </row>
    <row r="65" spans="1:4" x14ac:dyDescent="0.25">
      <c r="A65" s="58"/>
      <c r="B65" s="58"/>
      <c r="C65" s="58"/>
      <c r="D65" s="58"/>
    </row>
    <row r="66" spans="1:4" x14ac:dyDescent="0.25">
      <c r="A66" s="5" t="s">
        <v>58</v>
      </c>
      <c r="B66" s="57"/>
      <c r="C66" s="58"/>
      <c r="D66" s="58"/>
    </row>
    <row r="67" spans="1:4" x14ac:dyDescent="0.25">
      <c r="A67" s="5" t="s">
        <v>59</v>
      </c>
      <c r="B67" s="57"/>
      <c r="C67" s="58"/>
      <c r="D67" s="58"/>
    </row>
    <row r="68" spans="1:4" x14ac:dyDescent="0.25">
      <c r="A68" s="60" t="s">
        <v>60</v>
      </c>
      <c r="B68" s="58"/>
      <c r="C68" s="58"/>
      <c r="D68" s="58"/>
    </row>
    <row r="69" spans="1:4" x14ac:dyDescent="0.25">
      <c r="A69" s="5" t="s">
        <v>61</v>
      </c>
      <c r="B69" s="7"/>
      <c r="C69" s="3"/>
      <c r="D69" s="3"/>
    </row>
    <row r="70" spans="1:4" x14ac:dyDescent="0.25">
      <c r="A70" s="5" t="s">
        <v>62</v>
      </c>
      <c r="B70" s="6"/>
      <c r="C70" s="3"/>
      <c r="D70" s="3"/>
    </row>
    <row r="71" spans="1:4" x14ac:dyDescent="0.25">
      <c r="A71" s="5" t="s">
        <v>63</v>
      </c>
      <c r="B71" s="57"/>
      <c r="C71" s="58"/>
      <c r="D71" s="58"/>
    </row>
    <row r="72" spans="1:4" x14ac:dyDescent="0.25">
      <c r="A72" s="5" t="s">
        <v>64</v>
      </c>
      <c r="B72" s="7"/>
      <c r="C72" s="3"/>
      <c r="D72" s="3"/>
    </row>
    <row r="73" spans="1:4" x14ac:dyDescent="0.25">
      <c r="A73" s="5" t="s">
        <v>65</v>
      </c>
      <c r="B73" s="8"/>
      <c r="C73" s="3"/>
      <c r="D73" s="3"/>
    </row>
    <row r="74" spans="1:4" x14ac:dyDescent="0.25">
      <c r="A74" s="5" t="s">
        <v>66</v>
      </c>
      <c r="B74" s="7"/>
      <c r="C74" s="3"/>
      <c r="D74" s="3"/>
    </row>
    <row r="75" spans="1:4" x14ac:dyDescent="0.25">
      <c r="A75" s="5" t="s">
        <v>67</v>
      </c>
      <c r="B75" s="57"/>
      <c r="C75" s="58"/>
      <c r="D75" s="58"/>
    </row>
    <row r="77" spans="1:4" ht="30" customHeight="1" x14ac:dyDescent="0.25">
      <c r="A77" s="62" t="s">
        <v>68</v>
      </c>
      <c r="B77" s="58"/>
      <c r="C77" s="58"/>
      <c r="D77" s="58"/>
    </row>
  </sheetData>
  <sheetProtection selectLockedCells="1" selectUnlockedCells="1"/>
  <mergeCells count="35">
    <mergeCell ref="B71:D71"/>
    <mergeCell ref="A63:D65"/>
    <mergeCell ref="A77:D77"/>
    <mergeCell ref="B43:D43"/>
    <mergeCell ref="A32:D32"/>
    <mergeCell ref="B75:D75"/>
    <mergeCell ref="B66:D66"/>
    <mergeCell ref="B56:D56"/>
    <mergeCell ref="A62:D62"/>
    <mergeCell ref="B45:D45"/>
    <mergeCell ref="B41:D41"/>
    <mergeCell ref="A55:D55"/>
    <mergeCell ref="A68:D68"/>
    <mergeCell ref="A39:D39"/>
    <mergeCell ref="B22:D22"/>
    <mergeCell ref="B67:D67"/>
    <mergeCell ref="B46:D46"/>
    <mergeCell ref="B59:D59"/>
    <mergeCell ref="B52:D52"/>
    <mergeCell ref="B30:D30"/>
    <mergeCell ref="B24:D24"/>
    <mergeCell ref="B26:D26"/>
    <mergeCell ref="A27:D27"/>
    <mergeCell ref="A1:D2"/>
    <mergeCell ref="A5:B5"/>
    <mergeCell ref="B17:D17"/>
    <mergeCell ref="B44:D44"/>
    <mergeCell ref="B53:D53"/>
    <mergeCell ref="B29:D29"/>
    <mergeCell ref="B16:D16"/>
    <mergeCell ref="A3:D3"/>
    <mergeCell ref="B19:D19"/>
    <mergeCell ref="B37:D37"/>
    <mergeCell ref="A14:D14"/>
    <mergeCell ref="C5:D12"/>
  </mergeCells>
  <conditionalFormatting sqref="B12">
    <cfRule type="cellIs" dxfId="3" priority="2" operator="greaterThan">
      <formula>0.8</formula>
    </cfRule>
  </conditionalFormatting>
  <conditionalFormatting sqref="B33">
    <cfRule type="cellIs" dxfId="2" priority="1" operator="greaterThan">
      <formula>B49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xr:uid="{00000000-0002-0000-0000-000007000000}">
          <x14:formula1>
            <xm:f>Listas!B7:C7</xm:f>
          </x14:formula1>
          <xm:sqref>B57</xm:sqref>
        </x14:dataValidation>
        <x14:dataValidation type="list" xr:uid="{00000000-0002-0000-0000-000008000000}">
          <x14:formula1>
            <xm:f>Listas!B7:C7</xm:f>
          </x14:formula1>
          <xm:sqref>B60</xm:sqref>
        </x14:dataValidation>
        <x14:dataValidation type="list" xr:uid="{00000000-0002-0000-0000-000009000000}">
          <x14:formula1>
            <xm:f>Listas!B8:D8</xm:f>
          </x14:formula1>
          <xm:sqref>B72</xm:sqref>
        </x14:dataValidation>
        <x14:dataValidation type="list" xr:uid="{00000000-0002-0000-0000-000000000000}">
          <x14:formula1>
            <xm:f>Listas!B1:D1</xm:f>
          </x14:formula1>
          <xm:sqref>B18</xm:sqref>
        </x14:dataValidation>
        <x14:dataValidation type="list" xr:uid="{00000000-0002-0000-0000-000001000000}">
          <x14:formula1>
            <xm:f>Listas!B2:F2</xm:f>
          </x14:formula1>
          <xm:sqref>B21</xm:sqref>
        </x14:dataValidation>
        <x14:dataValidation type="list" xr:uid="{00000000-0002-0000-0000-000002000000}">
          <x14:formula1>
            <xm:f>Listas!B3:E3</xm:f>
          </x14:formula1>
          <xm:sqref>B28</xm:sqref>
        </x14:dataValidation>
        <x14:dataValidation type="list" xr:uid="{00000000-0002-0000-0000-000003000000}">
          <x14:formula1>
            <xm:f>Listas!B4:K4</xm:f>
          </x14:formula1>
          <xm:sqref>B34</xm:sqref>
        </x14:dataValidation>
        <x14:dataValidation type="list" xr:uid="{00000000-0002-0000-0000-000004000000}">
          <x14:formula1>
            <xm:f>Listas!B5:D5</xm:f>
          </x14:formula1>
          <xm:sqref>B35</xm:sqref>
        </x14:dataValidation>
        <x14:dataValidation type="list" xr:uid="{00000000-0002-0000-0000-000005000000}">
          <x14:formula1>
            <xm:f>Listas!B11:S11</xm:f>
          </x14:formula1>
          <xm:sqref>B23</xm:sqref>
        </x14:dataValidation>
        <x14:dataValidation type="list" xr:uid="{00000000-0002-0000-0000-000006000000}">
          <x14:formula1>
            <xm:f>Listas!B6:F6</xm:f>
          </x14:formula1>
          <xm:sqref>B36 B40</xm:sqref>
        </x14:dataValidation>
        <x14:dataValidation type="list" xr:uid="{00000000-0002-0000-0000-00000B000000}">
          <x14:formula1>
            <xm:f>Listas!B11:S11</xm:f>
          </x14:formula1>
          <xm:sqref>B42</xm:sqref>
        </x14:dataValidation>
        <x14:dataValidation type="list" xr:uid="{00000000-0002-0000-0000-00000C000000}">
          <x14:formula1>
            <xm:f>Listas!B9:C9</xm:f>
          </x14:formula1>
          <xm:sqref>B47</xm:sqref>
        </x14:dataValidation>
        <x14:dataValidation type="list" xr:uid="{00000000-0002-0000-0000-00000D000000}">
          <x14:formula1>
            <xm:f>Listas!B9:C9</xm:f>
          </x14:formula1>
          <xm:sqref>B50</xm:sqref>
        </x14:dataValidation>
        <x14:dataValidation type="list" xr:uid="{00000000-0002-0000-0000-00000E000000}">
          <x14:formula1>
            <xm:f>Listas!B9:C9</xm:f>
          </x14:formula1>
          <xm:sqref>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69</v>
      </c>
      <c r="B1" t="s">
        <v>70</v>
      </c>
      <c r="C1" t="s">
        <v>71</v>
      </c>
      <c r="D1" t="s">
        <v>72</v>
      </c>
    </row>
    <row r="2" spans="1:19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</row>
    <row r="3" spans="1:19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</row>
    <row r="4" spans="1:19" x14ac:dyDescent="0.25">
      <c r="A4" t="s">
        <v>84</v>
      </c>
      <c r="B4">
        <v>12</v>
      </c>
      <c r="C4">
        <v>24</v>
      </c>
      <c r="D4">
        <v>36</v>
      </c>
      <c r="E4">
        <v>48</v>
      </c>
      <c r="F4">
        <v>60</v>
      </c>
      <c r="G4">
        <v>72</v>
      </c>
      <c r="H4">
        <v>84</v>
      </c>
      <c r="I4">
        <v>96</v>
      </c>
      <c r="J4">
        <v>108</v>
      </c>
      <c r="K4">
        <v>120</v>
      </c>
    </row>
    <row r="5" spans="1:19" x14ac:dyDescent="0.25">
      <c r="A5" t="s">
        <v>85</v>
      </c>
      <c r="B5" t="s">
        <v>86</v>
      </c>
      <c r="C5" t="s">
        <v>87</v>
      </c>
      <c r="D5" t="s">
        <v>88</v>
      </c>
    </row>
    <row r="6" spans="1:19" x14ac:dyDescent="0.25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</row>
    <row r="7" spans="1:19" x14ac:dyDescent="0.25">
      <c r="A7" t="s">
        <v>95</v>
      </c>
      <c r="B7" t="s">
        <v>96</v>
      </c>
      <c r="C7" t="s">
        <v>97</v>
      </c>
    </row>
    <row r="8" spans="1:19" x14ac:dyDescent="0.25">
      <c r="A8" t="s">
        <v>98</v>
      </c>
      <c r="B8" t="s">
        <v>99</v>
      </c>
      <c r="C8" t="s">
        <v>100</v>
      </c>
      <c r="D8" t="s">
        <v>101</v>
      </c>
    </row>
    <row r="9" spans="1:19" x14ac:dyDescent="0.25">
      <c r="A9" t="s">
        <v>102</v>
      </c>
      <c r="B9" t="s">
        <v>103</v>
      </c>
      <c r="C9" t="s">
        <v>104</v>
      </c>
    </row>
    <row r="10" spans="1:19" x14ac:dyDescent="0.25">
      <c r="A10" t="s">
        <v>105</v>
      </c>
      <c r="B10" t="s">
        <v>106</v>
      </c>
      <c r="C10" t="s">
        <v>107</v>
      </c>
      <c r="D10" t="s">
        <v>108</v>
      </c>
      <c r="E10" t="s">
        <v>109</v>
      </c>
      <c r="F10" t="s">
        <v>94</v>
      </c>
    </row>
    <row r="11" spans="1:19" x14ac:dyDescent="0.2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122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showGridLines="0" workbookViewId="0">
      <pane ySplit="3" topLeftCell="A18" activePane="bottomLeft" state="frozen"/>
      <selection pane="bottomLeft" activeCell="A28" sqref="A28"/>
    </sheetView>
  </sheetViews>
  <sheetFormatPr baseColWidth="10" defaultColWidth="9.140625" defaultRowHeight="15" x14ac:dyDescent="0.25"/>
  <cols>
    <col min="1" max="1" width="46" customWidth="1"/>
    <col min="2" max="2" width="22" customWidth="1"/>
    <col min="3" max="3" width="18" customWidth="1"/>
    <col min="4" max="4" width="42" customWidth="1"/>
  </cols>
  <sheetData>
    <row r="1" spans="1:4" x14ac:dyDescent="0.25">
      <c r="A1" s="51" t="s">
        <v>129</v>
      </c>
      <c r="B1" s="52"/>
      <c r="C1" s="52"/>
      <c r="D1" s="52"/>
    </row>
    <row r="2" spans="1:4" x14ac:dyDescent="0.25">
      <c r="A2" s="52"/>
      <c r="B2" s="52"/>
      <c r="C2" s="52"/>
      <c r="D2" s="52"/>
    </row>
    <row r="4" spans="1:4" ht="15.75" x14ac:dyDescent="0.25">
      <c r="A4" s="53" t="s">
        <v>130</v>
      </c>
      <c r="B4" s="54"/>
      <c r="C4" s="54"/>
      <c r="D4" s="54"/>
    </row>
    <row r="5" spans="1:4" ht="15.75" x14ac:dyDescent="0.25">
      <c r="A5" s="18" t="s">
        <v>131</v>
      </c>
      <c r="B5" s="19">
        <v>0.1</v>
      </c>
      <c r="C5" s="17"/>
      <c r="D5" s="20" t="s">
        <v>132</v>
      </c>
    </row>
    <row r="6" spans="1:4" ht="15.75" x14ac:dyDescent="0.25">
      <c r="A6" s="18" t="s">
        <v>133</v>
      </c>
      <c r="B6" s="19">
        <v>0.8</v>
      </c>
      <c r="C6" s="17"/>
      <c r="D6" s="20" t="s">
        <v>134</v>
      </c>
    </row>
    <row r="7" spans="1:4" ht="15.75" x14ac:dyDescent="0.25">
      <c r="A7" s="18" t="s">
        <v>135</v>
      </c>
      <c r="B7" s="21">
        <v>120</v>
      </c>
      <c r="C7" s="17"/>
      <c r="D7" s="20" t="s">
        <v>136</v>
      </c>
    </row>
    <row r="8" spans="1:4" ht="15.75" x14ac:dyDescent="0.25">
      <c r="A8" s="18" t="s">
        <v>137</v>
      </c>
      <c r="B8" s="19">
        <v>0.3</v>
      </c>
      <c r="C8" s="17"/>
      <c r="D8" s="20" t="s">
        <v>138</v>
      </c>
    </row>
    <row r="9" spans="1:4" ht="15.75" x14ac:dyDescent="0.25">
      <c r="A9" s="22"/>
      <c r="B9" s="22"/>
      <c r="C9" s="22"/>
      <c r="D9" s="22"/>
    </row>
    <row r="10" spans="1:4" ht="15.75" x14ac:dyDescent="0.25">
      <c r="A10" s="53" t="s">
        <v>139</v>
      </c>
      <c r="B10" s="54"/>
      <c r="C10" s="54"/>
      <c r="D10" s="54"/>
    </row>
    <row r="11" spans="1:4" ht="15.75" x14ac:dyDescent="0.25">
      <c r="A11" s="18" t="s">
        <v>27</v>
      </c>
      <c r="B11" s="23">
        <f>Solicitud!B31</f>
        <v>0</v>
      </c>
      <c r="C11" s="17"/>
      <c r="D11" s="17"/>
    </row>
    <row r="12" spans="1:4" ht="15.75" x14ac:dyDescent="0.25">
      <c r="A12" s="18" t="s">
        <v>43</v>
      </c>
      <c r="B12" s="23">
        <f>Solicitud!B48</f>
        <v>0</v>
      </c>
      <c r="C12" s="17"/>
      <c r="D12" s="17"/>
    </row>
    <row r="13" spans="1:4" ht="15.75" x14ac:dyDescent="0.25">
      <c r="A13" s="18" t="s">
        <v>5</v>
      </c>
      <c r="B13" s="23">
        <f>Solicitud!B33</f>
        <v>0</v>
      </c>
      <c r="C13" s="17"/>
      <c r="D13" s="17"/>
    </row>
    <row r="14" spans="1:4" ht="15.75" x14ac:dyDescent="0.25">
      <c r="A14" s="18" t="s">
        <v>29</v>
      </c>
      <c r="B14" s="17">
        <f>Solicitud!B34</f>
        <v>0</v>
      </c>
      <c r="C14" s="17"/>
      <c r="D14" s="17"/>
    </row>
    <row r="15" spans="1:4" ht="15.75" x14ac:dyDescent="0.25">
      <c r="A15" s="18" t="s">
        <v>163</v>
      </c>
      <c r="B15" s="23">
        <f>Solicitud!B54</f>
        <v>0</v>
      </c>
      <c r="C15" s="17"/>
      <c r="D15" s="17"/>
    </row>
    <row r="16" spans="1:4" ht="15.75" x14ac:dyDescent="0.25">
      <c r="A16" s="22"/>
      <c r="B16" s="22"/>
      <c r="C16" s="22"/>
      <c r="D16" s="22"/>
    </row>
    <row r="17" spans="1:4" ht="15.75" x14ac:dyDescent="0.25">
      <c r="A17" s="53" t="s">
        <v>140</v>
      </c>
      <c r="B17" s="54"/>
      <c r="C17" s="54"/>
      <c r="D17" s="54"/>
    </row>
    <row r="18" spans="1:4" ht="15.75" x14ac:dyDescent="0.25">
      <c r="A18" s="18" t="s">
        <v>141</v>
      </c>
      <c r="B18" s="24">
        <f>B12*$B$6</f>
        <v>0</v>
      </c>
      <c r="C18" s="17"/>
      <c r="D18" s="17"/>
    </row>
    <row r="19" spans="1:4" ht="15.75" x14ac:dyDescent="0.25">
      <c r="A19" s="18" t="s">
        <v>142</v>
      </c>
      <c r="B19" s="25">
        <f>$B$5/12</f>
        <v>8.3333333333333332E-3</v>
      </c>
      <c r="C19" s="17"/>
      <c r="D19" s="17"/>
    </row>
    <row r="20" spans="1:4" ht="15.75" x14ac:dyDescent="0.25">
      <c r="A20" s="18" t="s">
        <v>143</v>
      </c>
      <c r="B20" s="24" t="e">
        <f>-PMT(B19,B14,B13)</f>
        <v>#NUM!</v>
      </c>
      <c r="C20" s="17"/>
      <c r="D20" s="17"/>
    </row>
    <row r="21" spans="1:4" ht="15.75" x14ac:dyDescent="0.25">
      <c r="A21" s="18" t="s">
        <v>162</v>
      </c>
      <c r="B21" s="24" t="e">
        <f>B20+B15</f>
        <v>#NUM!</v>
      </c>
      <c r="C21" s="17"/>
      <c r="D21" s="17"/>
    </row>
    <row r="22" spans="1:4" ht="15.75" x14ac:dyDescent="0.25">
      <c r="A22" s="18" t="s">
        <v>144</v>
      </c>
      <c r="B22" s="26" t="e">
        <f>B20/B11</f>
        <v>#NUM!</v>
      </c>
      <c r="C22" s="17"/>
      <c r="D22" s="17"/>
    </row>
    <row r="23" spans="1:4" ht="15.75" x14ac:dyDescent="0.25">
      <c r="A23" s="18" t="s">
        <v>145</v>
      </c>
      <c r="B23" s="17" t="str">
        <f>IF(B13&lt;=B18,"SÍ","NO")</f>
        <v>SÍ</v>
      </c>
      <c r="C23" s="17"/>
      <c r="D23" s="17"/>
    </row>
    <row r="24" spans="1:4" ht="15.75" x14ac:dyDescent="0.25">
      <c r="A24" s="18" t="s">
        <v>146</v>
      </c>
      <c r="B24" s="17" t="str">
        <f>IF(B14&lt;=$B$7,"SÍ","NO")</f>
        <v>SÍ</v>
      </c>
      <c r="C24" s="17"/>
      <c r="D24" s="17"/>
    </row>
    <row r="25" spans="1:4" ht="15.75" x14ac:dyDescent="0.25">
      <c r="A25" s="18" t="s">
        <v>147</v>
      </c>
      <c r="B25" s="17" t="e">
        <f>IF(B22&lt;=$B$8,"SÍ","NO")</f>
        <v>#NUM!</v>
      </c>
      <c r="C25" s="17"/>
      <c r="D25" s="17"/>
    </row>
    <row r="26" spans="1:4" ht="15.75" x14ac:dyDescent="0.25">
      <c r="A26" s="22"/>
      <c r="B26" s="22"/>
      <c r="C26" s="22"/>
      <c r="D26" s="22"/>
    </row>
    <row r="27" spans="1:4" ht="15.75" x14ac:dyDescent="0.25">
      <c r="A27" s="53" t="s">
        <v>148</v>
      </c>
      <c r="B27" s="54"/>
      <c r="C27" s="54"/>
      <c r="D27" s="54"/>
    </row>
    <row r="28" spans="1:4" ht="60" customHeight="1" x14ac:dyDescent="0.25">
      <c r="A28" s="28" t="s">
        <v>149</v>
      </c>
      <c r="B28" s="29"/>
      <c r="C28" s="30"/>
      <c r="D28" s="31" t="s">
        <v>150</v>
      </c>
    </row>
    <row r="29" spans="1:4" ht="15.75" x14ac:dyDescent="0.25">
      <c r="A29" s="18" t="s">
        <v>151</v>
      </c>
      <c r="B29" s="50" t="e">
        <f>IF(AND(B23="SÍ",B24="SÍ",B25="SÍ"),"APROBABLE","REVISAR / CONDICIONAR")</f>
        <v>#NUM!</v>
      </c>
      <c r="C29" s="17"/>
      <c r="D29" s="17"/>
    </row>
  </sheetData>
  <sheetProtection selectLockedCells="1" selectUnlockedCells="1"/>
  <mergeCells count="5">
    <mergeCell ref="A1:D2"/>
    <mergeCell ref="A4:D4"/>
    <mergeCell ref="A27:D27"/>
    <mergeCell ref="A17:D17"/>
    <mergeCell ref="A10:D10"/>
  </mergeCells>
  <conditionalFormatting sqref="B23:B25">
    <cfRule type="cellIs" dxfId="1" priority="1" operator="equal">
      <formula>"NO"</formula>
    </cfRule>
    <cfRule type="cellIs" dxfId="0" priority="2" operator="equal">
      <formula>"SÍ"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8"/>
  <sheetViews>
    <sheetView showGridLines="0" tabSelected="1" topLeftCell="A6" workbookViewId="0">
      <selection activeCell="G12" sqref="G12"/>
    </sheetView>
  </sheetViews>
  <sheetFormatPr baseColWidth="10" defaultColWidth="9.140625" defaultRowHeight="15" x14ac:dyDescent="0.25"/>
  <cols>
    <col min="1" max="1" width="7.28515625" customWidth="1"/>
    <col min="2" max="2" width="10.7109375" bestFit="1" customWidth="1"/>
    <col min="3" max="7" width="18" customWidth="1"/>
  </cols>
  <sheetData>
    <row r="1" spans="1:7" x14ac:dyDescent="0.25">
      <c r="A1" s="51" t="s">
        <v>152</v>
      </c>
      <c r="B1" s="52"/>
      <c r="C1" s="52"/>
      <c r="D1" s="52"/>
      <c r="E1" s="52"/>
      <c r="F1" s="52"/>
      <c r="G1" s="52"/>
    </row>
    <row r="2" spans="1:7" x14ac:dyDescent="0.25">
      <c r="A2" s="52"/>
      <c r="B2" s="52"/>
      <c r="C2" s="52"/>
      <c r="D2" s="52"/>
      <c r="E2" s="52"/>
      <c r="F2" s="52"/>
      <c r="G2" s="52"/>
    </row>
    <row r="3" spans="1:7" ht="21.75" thickBot="1" x14ac:dyDescent="0.4">
      <c r="A3" s="32" t="s">
        <v>164</v>
      </c>
      <c r="B3" s="33"/>
      <c r="C3" s="72">
        <f>Solicitud!B17</f>
        <v>0</v>
      </c>
      <c r="D3" s="72"/>
      <c r="E3" s="72"/>
      <c r="F3" s="72"/>
      <c r="G3" s="72"/>
    </row>
    <row r="4" spans="1:7" ht="16.5" x14ac:dyDescent="0.3">
      <c r="A4" s="34" t="s">
        <v>165</v>
      </c>
      <c r="B4" s="35"/>
      <c r="C4" s="36">
        <v>0.03</v>
      </c>
      <c r="D4" s="37">
        <f>SUM(C12*C4)</f>
        <v>0</v>
      </c>
      <c r="E4" s="38"/>
      <c r="F4" s="39"/>
      <c r="G4" s="38"/>
    </row>
    <row r="5" spans="1:7" x14ac:dyDescent="0.25">
      <c r="A5" s="69" t="s">
        <v>166</v>
      </c>
      <c r="B5" s="69"/>
      <c r="C5" s="36">
        <v>0.05</v>
      </c>
      <c r="D5" s="37">
        <f>SUM(C12*C5)</f>
        <v>0</v>
      </c>
      <c r="E5" s="37"/>
      <c r="F5" s="39"/>
      <c r="G5" s="38"/>
    </row>
    <row r="6" spans="1:7" x14ac:dyDescent="0.25">
      <c r="A6" s="40" t="s">
        <v>167</v>
      </c>
      <c r="B6" s="40"/>
      <c r="C6" s="36"/>
      <c r="D6" s="37"/>
      <c r="E6" s="37"/>
      <c r="F6" s="39"/>
      <c r="G6" s="38"/>
    </row>
    <row r="7" spans="1:7" x14ac:dyDescent="0.25">
      <c r="A7" s="40" t="s">
        <v>168</v>
      </c>
      <c r="B7" s="40"/>
      <c r="C7" s="36"/>
      <c r="D7" s="37">
        <v>0</v>
      </c>
      <c r="E7" s="37"/>
      <c r="F7" s="39"/>
      <c r="G7" s="38"/>
    </row>
    <row r="8" spans="1:7" x14ac:dyDescent="0.25">
      <c r="A8" s="69" t="s">
        <v>169</v>
      </c>
      <c r="B8" s="69"/>
      <c r="C8" s="36"/>
      <c r="D8" s="37">
        <f>SUM(D4:D7)</f>
        <v>0</v>
      </c>
      <c r="E8" s="38"/>
      <c r="F8" s="39"/>
      <c r="G8" s="38"/>
    </row>
    <row r="9" spans="1:7" ht="16.5" thickBot="1" x14ac:dyDescent="0.3">
      <c r="A9" s="69" t="s">
        <v>170</v>
      </c>
      <c r="B9" s="69"/>
      <c r="C9" s="36"/>
      <c r="D9" s="41">
        <f>SUM(C12-D8)</f>
        <v>0</v>
      </c>
      <c r="E9" s="70" t="s">
        <v>171</v>
      </c>
      <c r="F9" s="43" t="s">
        <v>176</v>
      </c>
      <c r="G9" s="43" t="s">
        <v>177</v>
      </c>
    </row>
    <row r="10" spans="1:7" ht="16.5" thickTop="1" x14ac:dyDescent="0.25">
      <c r="A10" s="39"/>
      <c r="B10" s="38"/>
      <c r="C10" s="38"/>
      <c r="D10" s="38"/>
      <c r="E10" s="71"/>
      <c r="F10" s="44">
        <v>46142</v>
      </c>
      <c r="G10" s="45">
        <v>49795</v>
      </c>
    </row>
    <row r="11" spans="1:7" ht="15.75" x14ac:dyDescent="0.25">
      <c r="A11" s="39"/>
      <c r="B11" s="38"/>
      <c r="C11" s="42" t="s">
        <v>172</v>
      </c>
      <c r="D11" s="42" t="s">
        <v>173</v>
      </c>
      <c r="E11" s="42" t="s">
        <v>174</v>
      </c>
      <c r="F11" s="42" t="s">
        <v>175</v>
      </c>
      <c r="G11" s="42" t="s">
        <v>179</v>
      </c>
    </row>
    <row r="12" spans="1:7" ht="15.75" x14ac:dyDescent="0.25">
      <c r="A12" s="22" t="s">
        <v>153</v>
      </c>
      <c r="C12" s="46">
        <f>'Análisis de Crédito'!B13</f>
        <v>0</v>
      </c>
      <c r="D12" s="47">
        <f>'Análisis de Crédito'!B7</f>
        <v>120</v>
      </c>
      <c r="E12" s="48">
        <f>'Análisis de Crédito'!B5</f>
        <v>0.1</v>
      </c>
      <c r="F12" s="46">
        <f>C12/((1-((1+(E12/12))^-D12))/(E12/12))</f>
        <v>0</v>
      </c>
      <c r="G12" s="49">
        <f>F12+Solicitud!B54</f>
        <v>0</v>
      </c>
    </row>
    <row r="13" spans="1:7" ht="15.75" x14ac:dyDescent="0.25">
      <c r="A13" s="22" t="s">
        <v>6</v>
      </c>
    </row>
    <row r="14" spans="1:7" ht="15.75" x14ac:dyDescent="0.25">
      <c r="A14" s="22" t="s">
        <v>7</v>
      </c>
    </row>
    <row r="15" spans="1:7" ht="15.75" x14ac:dyDescent="0.25">
      <c r="A15" s="22" t="s">
        <v>154</v>
      </c>
    </row>
    <row r="16" spans="1:7" ht="15.75" x14ac:dyDescent="0.25">
      <c r="A16" s="22" t="s">
        <v>178</v>
      </c>
      <c r="C16" s="9">
        <f>Solicitud!B38</f>
        <v>0</v>
      </c>
    </row>
    <row r="18" spans="1:7" x14ac:dyDescent="0.25">
      <c r="A18" s="2" t="s">
        <v>155</v>
      </c>
      <c r="B18" s="2" t="s">
        <v>156</v>
      </c>
      <c r="C18" s="2" t="s">
        <v>157</v>
      </c>
      <c r="D18" s="2" t="s">
        <v>158</v>
      </c>
      <c r="E18" s="2" t="s">
        <v>159</v>
      </c>
      <c r="F18" s="2" t="s">
        <v>160</v>
      </c>
      <c r="G18" s="2" t="s">
        <v>161</v>
      </c>
    </row>
    <row r="19" spans="1:7" x14ac:dyDescent="0.25">
      <c r="A19" s="10">
        <f>IF(1&lt;=$D$12,1,"")</f>
        <v>1</v>
      </c>
      <c r="B19" s="11">
        <f>IF(1&lt;=$D$12,IF($C$16="","",EDATE($C$16,1-1)),"")</f>
        <v>0</v>
      </c>
      <c r="C19" s="12">
        <f>IF(1&lt;=$D$12,IF(1=1,$C$12,G18),"")</f>
        <v>0</v>
      </c>
      <c r="D19" s="12">
        <f>IF(1&lt;=$D$12,$F$12,"")</f>
        <v>0</v>
      </c>
      <c r="E19" s="12">
        <f>IF(1&lt;=$D$12,C19*($E$12/12),"")</f>
        <v>0</v>
      </c>
      <c r="F19" s="12">
        <f>IF(1&lt;=$D$12,D19-E19,"")</f>
        <v>0</v>
      </c>
      <c r="G19" s="12">
        <f>IF(1&lt;=$D$12,MAX(0,C19-F19),"")</f>
        <v>0</v>
      </c>
    </row>
    <row r="20" spans="1:7" x14ac:dyDescent="0.25">
      <c r="A20" s="10">
        <f>IF(2&lt;=$D$12,2,"")</f>
        <v>2</v>
      </c>
      <c r="B20" s="11">
        <f>IF(2&lt;=$D$12,IF($C$16="","",EDATE($C$16,2-1)),"")</f>
        <v>31</v>
      </c>
      <c r="C20" s="12">
        <f>IF(2&lt;=$D$12,IF(2=1,$C$12,G19),"")</f>
        <v>0</v>
      </c>
      <c r="D20" s="12">
        <f>IF(2&lt;=$D$12,$F$12,"")</f>
        <v>0</v>
      </c>
      <c r="E20" s="12">
        <f>IF(2&lt;=$D$12,C20*($E$12/12),"")</f>
        <v>0</v>
      </c>
      <c r="F20" s="12">
        <f>IF(2&lt;=$D$12,D20-E20,"")</f>
        <v>0</v>
      </c>
      <c r="G20" s="12">
        <f>IF(2&lt;=$D$12,MAX(0,C20-F20),"")</f>
        <v>0</v>
      </c>
    </row>
    <row r="21" spans="1:7" x14ac:dyDescent="0.25">
      <c r="A21" s="10">
        <f>IF(3&lt;=$D$12,3,"")</f>
        <v>3</v>
      </c>
      <c r="B21" s="11">
        <f>IF(3&lt;=$D$12,IF($C$16="","",EDATE($C$16,3-1)),"")</f>
        <v>60</v>
      </c>
      <c r="C21" s="12">
        <f>IF(3&lt;=$D$12,IF(3=1,$C$12,G20),"")</f>
        <v>0</v>
      </c>
      <c r="D21" s="12">
        <f>IF(3&lt;=$D$12,$F$12,"")</f>
        <v>0</v>
      </c>
      <c r="E21" s="12">
        <f>IF(3&lt;=$D$12,C21*($E$12/12),"")</f>
        <v>0</v>
      </c>
      <c r="F21" s="12">
        <f>IF(3&lt;=$D$12,D21-E21,"")</f>
        <v>0</v>
      </c>
      <c r="G21" s="12">
        <f>IF(3&lt;=$D$12,MAX(0,C21-F21),"")</f>
        <v>0</v>
      </c>
    </row>
    <row r="22" spans="1:7" x14ac:dyDescent="0.25">
      <c r="A22" s="10">
        <f>IF(4&lt;=$D$12,4,"")</f>
        <v>4</v>
      </c>
      <c r="B22" s="11">
        <f>IF(4&lt;=$D$12,IF($C$16="","",EDATE($C$16,4-1)),"")</f>
        <v>91</v>
      </c>
      <c r="C22" s="12">
        <f>IF(4&lt;=$D$12,IF(4=1,$C$12,G21),"")</f>
        <v>0</v>
      </c>
      <c r="D22" s="12">
        <f>IF(4&lt;=$D$12,$F$12,"")</f>
        <v>0</v>
      </c>
      <c r="E22" s="12">
        <f>IF(4&lt;=$D$12,C22*($E$12/12),"")</f>
        <v>0</v>
      </c>
      <c r="F22" s="12">
        <f>IF(4&lt;=$D$12,D22-E22,"")</f>
        <v>0</v>
      </c>
      <c r="G22" s="12">
        <f>IF(4&lt;=$D$12,MAX(0,C22-F22),"")</f>
        <v>0</v>
      </c>
    </row>
    <row r="23" spans="1:7" x14ac:dyDescent="0.25">
      <c r="A23" s="10">
        <f>IF(5&lt;=$D$12,5,"")</f>
        <v>5</v>
      </c>
      <c r="B23" s="11">
        <f>IF(5&lt;=$D$12,IF($C$16="","",EDATE($C$16,5-1)),"")</f>
        <v>121</v>
      </c>
      <c r="C23" s="12">
        <f>IF(5&lt;=$D$12,IF(5=1,$C$12,G22),"")</f>
        <v>0</v>
      </c>
      <c r="D23" s="12">
        <f>IF(5&lt;=$D$12,$F$12,"")</f>
        <v>0</v>
      </c>
      <c r="E23" s="12">
        <f>IF(5&lt;=$D$12,C23*($E$12/12),"")</f>
        <v>0</v>
      </c>
      <c r="F23" s="12">
        <f>IF(5&lt;=$D$12,D23-E23,"")</f>
        <v>0</v>
      </c>
      <c r="G23" s="12">
        <f>IF(5&lt;=$D$12,MAX(0,C23-F23),"")</f>
        <v>0</v>
      </c>
    </row>
    <row r="24" spans="1:7" x14ac:dyDescent="0.25">
      <c r="A24" s="10">
        <f>IF(6&lt;=$D$12,6,"")</f>
        <v>6</v>
      </c>
      <c r="B24" s="11">
        <f>IF(6&lt;=$D$12,IF($C$16="","",EDATE($C$16,6-1)),"")</f>
        <v>152</v>
      </c>
      <c r="C24" s="12">
        <f>IF(6&lt;=$D$12,IF(6=1,$C$12,G23),"")</f>
        <v>0</v>
      </c>
      <c r="D24" s="12">
        <f>IF(6&lt;=$D$12,$F$12,"")</f>
        <v>0</v>
      </c>
      <c r="E24" s="12">
        <f>IF(6&lt;=$D$12,C24*($E$12/12),"")</f>
        <v>0</v>
      </c>
      <c r="F24" s="12">
        <f>IF(6&lt;=$D$12,D24-E24,"")</f>
        <v>0</v>
      </c>
      <c r="G24" s="12">
        <f>IF(6&lt;=$D$12,MAX(0,C24-F24),"")</f>
        <v>0</v>
      </c>
    </row>
    <row r="25" spans="1:7" x14ac:dyDescent="0.25">
      <c r="A25" s="10">
        <f>IF(7&lt;=$D$12,7,"")</f>
        <v>7</v>
      </c>
      <c r="B25" s="11">
        <f>IF(7&lt;=$D$12,IF($C$16="","",EDATE($C$16,7-1)),"")</f>
        <v>182</v>
      </c>
      <c r="C25" s="12">
        <f>IF(7&lt;=$D$12,IF(7=1,$C$12,G24),"")</f>
        <v>0</v>
      </c>
      <c r="D25" s="12">
        <f>IF(7&lt;=$D$12,$F$12,"")</f>
        <v>0</v>
      </c>
      <c r="E25" s="12">
        <f>IF(7&lt;=$D$12,C25*($E$12/12),"")</f>
        <v>0</v>
      </c>
      <c r="F25" s="12">
        <f>IF(7&lt;=$D$12,D25-E25,"")</f>
        <v>0</v>
      </c>
      <c r="G25" s="12">
        <f>IF(7&lt;=$D$12,MAX(0,C25-F25),"")</f>
        <v>0</v>
      </c>
    </row>
    <row r="26" spans="1:7" x14ac:dyDescent="0.25">
      <c r="A26" s="10">
        <f>IF(8&lt;=$D$12,8,"")</f>
        <v>8</v>
      </c>
      <c r="B26" s="11">
        <f>IF(8&lt;=$D$12,IF($C$16="","",EDATE($C$16,8-1)),"")</f>
        <v>213</v>
      </c>
      <c r="C26" s="12">
        <f>IF(8&lt;=$D$12,IF(8=1,$C$12,G25),"")</f>
        <v>0</v>
      </c>
      <c r="D26" s="12">
        <f>IF(8&lt;=$D$12,$F$12,"")</f>
        <v>0</v>
      </c>
      <c r="E26" s="12">
        <f>IF(8&lt;=$D$12,C26*($E$12/12),"")</f>
        <v>0</v>
      </c>
      <c r="F26" s="12">
        <f>IF(8&lt;=$D$12,D26-E26,"")</f>
        <v>0</v>
      </c>
      <c r="G26" s="12">
        <f>IF(8&lt;=$D$12,MAX(0,C26-F26),"")</f>
        <v>0</v>
      </c>
    </row>
    <row r="27" spans="1:7" x14ac:dyDescent="0.25">
      <c r="A27" s="10">
        <f>IF(9&lt;=$D$12,9,"")</f>
        <v>9</v>
      </c>
      <c r="B27" s="11">
        <f>IF(9&lt;=$D$12,IF($C$16="","",EDATE($C$16,9-1)),"")</f>
        <v>244</v>
      </c>
      <c r="C27" s="12">
        <f>IF(9&lt;=$D$12,IF(9=1,$C$12,G26),"")</f>
        <v>0</v>
      </c>
      <c r="D27" s="12">
        <f>IF(9&lt;=$D$12,$F$12,"")</f>
        <v>0</v>
      </c>
      <c r="E27" s="12">
        <f>IF(9&lt;=$D$12,C27*($E$12/12),"")</f>
        <v>0</v>
      </c>
      <c r="F27" s="12">
        <f>IF(9&lt;=$D$12,D27-E27,"")</f>
        <v>0</v>
      </c>
      <c r="G27" s="12">
        <f>IF(9&lt;=$D$12,MAX(0,C27-F27),"")</f>
        <v>0</v>
      </c>
    </row>
    <row r="28" spans="1:7" x14ac:dyDescent="0.25">
      <c r="A28" s="10">
        <f>IF(10&lt;=$D$12,10,"")</f>
        <v>10</v>
      </c>
      <c r="B28" s="11">
        <f>IF(10&lt;=$D$12,IF($C$16="","",EDATE($C$16,10-1)),"")</f>
        <v>274</v>
      </c>
      <c r="C28" s="12">
        <f>IF(10&lt;=$D$12,IF(10=1,$C$12,G27),"")</f>
        <v>0</v>
      </c>
      <c r="D28" s="12">
        <f>IF(10&lt;=$D$12,$F$12,"")</f>
        <v>0</v>
      </c>
      <c r="E28" s="12">
        <f>IF(10&lt;=$D$12,C28*($E$12/12),"")</f>
        <v>0</v>
      </c>
      <c r="F28" s="12">
        <f>IF(10&lt;=$D$12,D28-E28,"")</f>
        <v>0</v>
      </c>
      <c r="G28" s="12">
        <f>IF(10&lt;=$D$12,MAX(0,C28-F28),"")</f>
        <v>0</v>
      </c>
    </row>
    <row r="29" spans="1:7" x14ac:dyDescent="0.25">
      <c r="A29" s="10">
        <f>IF(11&lt;=$D$12,11,"")</f>
        <v>11</v>
      </c>
      <c r="B29" s="11">
        <f>IF(11&lt;=$D$12,IF($C$16="","",EDATE($C$16,11-1)),"")</f>
        <v>305</v>
      </c>
      <c r="C29" s="12">
        <f>IF(11&lt;=$D$12,IF(11=1,$C$12,G28),"")</f>
        <v>0</v>
      </c>
      <c r="D29" s="12">
        <f>IF(11&lt;=$D$12,$F$12,"")</f>
        <v>0</v>
      </c>
      <c r="E29" s="12">
        <f>IF(11&lt;=$D$12,C29*($E$12/12),"")</f>
        <v>0</v>
      </c>
      <c r="F29" s="12">
        <f>IF(11&lt;=$D$12,D29-E29,"")</f>
        <v>0</v>
      </c>
      <c r="G29" s="12">
        <f>IF(11&lt;=$D$12,MAX(0,C29-F29),"")</f>
        <v>0</v>
      </c>
    </row>
    <row r="30" spans="1:7" x14ac:dyDescent="0.25">
      <c r="A30" s="10">
        <f>IF(12&lt;=$D$12,12,"")</f>
        <v>12</v>
      </c>
      <c r="B30" s="11">
        <f>IF(12&lt;=$D$12,IF($C$16="","",EDATE($C$16,12-1)),"")</f>
        <v>335</v>
      </c>
      <c r="C30" s="12">
        <f>IF(12&lt;=$D$12,IF(12=1,$C$12,G29),"")</f>
        <v>0</v>
      </c>
      <c r="D30" s="12">
        <f>IF(12&lt;=$D$12,$F$12,"")</f>
        <v>0</v>
      </c>
      <c r="E30" s="12">
        <f>IF(12&lt;=$D$12,C30*($E$12/12),"")</f>
        <v>0</v>
      </c>
      <c r="F30" s="12">
        <f>IF(12&lt;=$D$12,D30-E30,"")</f>
        <v>0</v>
      </c>
      <c r="G30" s="12">
        <f>IF(12&lt;=$D$12,MAX(0,C30-F30),"")</f>
        <v>0</v>
      </c>
    </row>
    <row r="31" spans="1:7" x14ac:dyDescent="0.25">
      <c r="A31" s="10">
        <f>IF(13&lt;=$D$12,13,"")</f>
        <v>13</v>
      </c>
      <c r="B31" s="11">
        <f>IF(13&lt;=$D$12,IF($C$16="","",EDATE($C$16,13-1)),"")</f>
        <v>366</v>
      </c>
      <c r="C31" s="12">
        <f>IF(13&lt;=$D$12,IF(13=1,$C$12,G30),"")</f>
        <v>0</v>
      </c>
      <c r="D31" s="12">
        <f>IF(13&lt;=$D$12,$F$12,"")</f>
        <v>0</v>
      </c>
      <c r="E31" s="12">
        <f>IF(13&lt;=$D$12,C31*($E$12/12),"")</f>
        <v>0</v>
      </c>
      <c r="F31" s="12">
        <f>IF(13&lt;=$D$12,D31-E31,"")</f>
        <v>0</v>
      </c>
      <c r="G31" s="12">
        <f>IF(13&lt;=$D$12,MAX(0,C31-F31),"")</f>
        <v>0</v>
      </c>
    </row>
    <row r="32" spans="1:7" x14ac:dyDescent="0.25">
      <c r="A32" s="10">
        <f>IF(14&lt;=$D$12,14,"")</f>
        <v>14</v>
      </c>
      <c r="B32" s="11">
        <f>IF(14&lt;=$D$12,IF($C$16="","",EDATE($C$16,14-1)),"")</f>
        <v>397</v>
      </c>
      <c r="C32" s="12">
        <f>IF(14&lt;=$D$12,IF(14=1,$C$12,G31),"")</f>
        <v>0</v>
      </c>
      <c r="D32" s="12">
        <f>IF(14&lt;=$D$12,$F$12,"")</f>
        <v>0</v>
      </c>
      <c r="E32" s="12">
        <f>IF(14&lt;=$D$12,C32*($E$12/12),"")</f>
        <v>0</v>
      </c>
      <c r="F32" s="12">
        <f>IF(14&lt;=$D$12,D32-E32,"")</f>
        <v>0</v>
      </c>
      <c r="G32" s="12">
        <f>IF(14&lt;=$D$12,MAX(0,C32-F32),"")</f>
        <v>0</v>
      </c>
    </row>
    <row r="33" spans="1:7" x14ac:dyDescent="0.25">
      <c r="A33" s="10">
        <f>IF(15&lt;=$D$12,15,"")</f>
        <v>15</v>
      </c>
      <c r="B33" s="11">
        <f>IF(15&lt;=$D$12,IF($C$16="","",EDATE($C$16,15-1)),"")</f>
        <v>425</v>
      </c>
      <c r="C33" s="12">
        <f>IF(15&lt;=$D$12,IF(15=1,$C$12,G32),"")</f>
        <v>0</v>
      </c>
      <c r="D33" s="12">
        <f>IF(15&lt;=$D$12,$F$12,"")</f>
        <v>0</v>
      </c>
      <c r="E33" s="12">
        <f>IF(15&lt;=$D$12,C33*($E$12/12),"")</f>
        <v>0</v>
      </c>
      <c r="F33" s="12">
        <f>IF(15&lt;=$D$12,D33-E33,"")</f>
        <v>0</v>
      </c>
      <c r="G33" s="12">
        <f>IF(15&lt;=$D$12,MAX(0,C33-F33),"")</f>
        <v>0</v>
      </c>
    </row>
    <row r="34" spans="1:7" x14ac:dyDescent="0.25">
      <c r="A34" s="10">
        <f>IF(16&lt;=$D$12,16,"")</f>
        <v>16</v>
      </c>
      <c r="B34" s="11">
        <f>IF(16&lt;=$D$12,IF($C$16="","",EDATE($C$16,16-1)),"")</f>
        <v>456</v>
      </c>
      <c r="C34" s="12">
        <f>IF(16&lt;=$D$12,IF(16=1,$C$12,G33),"")</f>
        <v>0</v>
      </c>
      <c r="D34" s="12">
        <f>IF(16&lt;=$D$12,$F$12,"")</f>
        <v>0</v>
      </c>
      <c r="E34" s="12">
        <f>IF(16&lt;=$D$12,C34*($E$12/12),"")</f>
        <v>0</v>
      </c>
      <c r="F34" s="12">
        <f>IF(16&lt;=$D$12,D34-E34,"")</f>
        <v>0</v>
      </c>
      <c r="G34" s="12">
        <f>IF(16&lt;=$D$12,MAX(0,C34-F34),"")</f>
        <v>0</v>
      </c>
    </row>
    <row r="35" spans="1:7" x14ac:dyDescent="0.25">
      <c r="A35" s="10">
        <f>IF(17&lt;=$D$12,17,"")</f>
        <v>17</v>
      </c>
      <c r="B35" s="11">
        <f>IF(17&lt;=$D$12,IF($C$16="","",EDATE($C$16,17-1)),"")</f>
        <v>486</v>
      </c>
      <c r="C35" s="12">
        <f>IF(17&lt;=$D$12,IF(17=1,$C$12,G34),"")</f>
        <v>0</v>
      </c>
      <c r="D35" s="12">
        <f>IF(17&lt;=$D$12,$F$12,"")</f>
        <v>0</v>
      </c>
      <c r="E35" s="12">
        <f>IF(17&lt;=$D$12,C35*($E$12/12),"")</f>
        <v>0</v>
      </c>
      <c r="F35" s="12">
        <f>IF(17&lt;=$D$12,D35-E35,"")</f>
        <v>0</v>
      </c>
      <c r="G35" s="12">
        <f>IF(17&lt;=$D$12,MAX(0,C35-F35),"")</f>
        <v>0</v>
      </c>
    </row>
    <row r="36" spans="1:7" x14ac:dyDescent="0.25">
      <c r="A36" s="10">
        <f>IF(18&lt;=$D$12,18,"")</f>
        <v>18</v>
      </c>
      <c r="B36" s="11">
        <f>IF(18&lt;=$D$12,IF($C$16="","",EDATE($C$16,18-1)),"")</f>
        <v>517</v>
      </c>
      <c r="C36" s="12">
        <f>IF(18&lt;=$D$12,IF(18=1,$C$12,G35),"")</f>
        <v>0</v>
      </c>
      <c r="D36" s="12">
        <f>IF(18&lt;=$D$12,$F$12,"")</f>
        <v>0</v>
      </c>
      <c r="E36" s="12">
        <f>IF(18&lt;=$D$12,C36*($E$12/12),"")</f>
        <v>0</v>
      </c>
      <c r="F36" s="12">
        <f>IF(18&lt;=$D$12,D36-E36,"")</f>
        <v>0</v>
      </c>
      <c r="G36" s="12">
        <f>IF(18&lt;=$D$12,MAX(0,C36-F36),"")</f>
        <v>0</v>
      </c>
    </row>
    <row r="37" spans="1:7" x14ac:dyDescent="0.25">
      <c r="A37" s="10">
        <f>IF(19&lt;=$D$12,19,"")</f>
        <v>19</v>
      </c>
      <c r="B37" s="11">
        <f>IF(19&lt;=$D$12,IF($C$16="","",EDATE($C$16,19-1)),"")</f>
        <v>547</v>
      </c>
      <c r="C37" s="12">
        <f>IF(19&lt;=$D$12,IF(19=1,$C$12,G36),"")</f>
        <v>0</v>
      </c>
      <c r="D37" s="12">
        <f>IF(19&lt;=$D$12,$F$12,"")</f>
        <v>0</v>
      </c>
      <c r="E37" s="12">
        <f>IF(19&lt;=$D$12,C37*($E$12/12),"")</f>
        <v>0</v>
      </c>
      <c r="F37" s="12">
        <f>IF(19&lt;=$D$12,D37-E37,"")</f>
        <v>0</v>
      </c>
      <c r="G37" s="12">
        <f>IF(19&lt;=$D$12,MAX(0,C37-F37),"")</f>
        <v>0</v>
      </c>
    </row>
    <row r="38" spans="1:7" x14ac:dyDescent="0.25">
      <c r="A38" s="10">
        <f>IF(20&lt;=$D$12,20,"")</f>
        <v>20</v>
      </c>
      <c r="B38" s="11">
        <f>IF(20&lt;=$D$12,IF($C$16="","",EDATE($C$16,20-1)),"")</f>
        <v>578</v>
      </c>
      <c r="C38" s="12">
        <f>IF(20&lt;=$D$12,IF(20=1,$C$12,G37),"")</f>
        <v>0</v>
      </c>
      <c r="D38" s="12">
        <f>IF(20&lt;=$D$12,$F$12,"")</f>
        <v>0</v>
      </c>
      <c r="E38" s="12">
        <f>IF(20&lt;=$D$12,C38*($E$12/12),"")</f>
        <v>0</v>
      </c>
      <c r="F38" s="12">
        <f>IF(20&lt;=$D$12,D38-E38,"")</f>
        <v>0</v>
      </c>
      <c r="G38" s="12">
        <f>IF(20&lt;=$D$12,MAX(0,C38-F38),"")</f>
        <v>0</v>
      </c>
    </row>
    <row r="39" spans="1:7" x14ac:dyDescent="0.25">
      <c r="A39" s="10">
        <f>IF(21&lt;=$D$12,21,"")</f>
        <v>21</v>
      </c>
      <c r="B39" s="11">
        <f>IF(21&lt;=$D$12,IF($C$16="","",EDATE($C$16,21-1)),"")</f>
        <v>609</v>
      </c>
      <c r="C39" s="12">
        <f>IF(21&lt;=$D$12,IF(21=1,$C$12,G38),"")</f>
        <v>0</v>
      </c>
      <c r="D39" s="12">
        <f>IF(21&lt;=$D$12,$F$12,"")</f>
        <v>0</v>
      </c>
      <c r="E39" s="12">
        <f>IF(21&lt;=$D$12,C39*($E$12/12),"")</f>
        <v>0</v>
      </c>
      <c r="F39" s="12">
        <f>IF(21&lt;=$D$12,D39-E39,"")</f>
        <v>0</v>
      </c>
      <c r="G39" s="12">
        <f>IF(21&lt;=$D$12,MAX(0,C39-F39),"")</f>
        <v>0</v>
      </c>
    </row>
    <row r="40" spans="1:7" x14ac:dyDescent="0.25">
      <c r="A40" s="10">
        <f>IF(22&lt;=$D$12,22,"")</f>
        <v>22</v>
      </c>
      <c r="B40" s="11">
        <f>IF(22&lt;=$D$12,IF($C$16="","",EDATE($C$16,22-1)),"")</f>
        <v>639</v>
      </c>
      <c r="C40" s="12">
        <f>IF(22&lt;=$D$12,IF(22=1,$C$12,G39),"")</f>
        <v>0</v>
      </c>
      <c r="D40" s="12">
        <f>IF(22&lt;=$D$12,$F$12,"")</f>
        <v>0</v>
      </c>
      <c r="E40" s="12">
        <f>IF(22&lt;=$D$12,C40*($E$12/12),"")</f>
        <v>0</v>
      </c>
      <c r="F40" s="12">
        <f>IF(22&lt;=$D$12,D40-E40,"")</f>
        <v>0</v>
      </c>
      <c r="G40" s="12">
        <f>IF(22&lt;=$D$12,MAX(0,C40-F40),"")</f>
        <v>0</v>
      </c>
    </row>
    <row r="41" spans="1:7" x14ac:dyDescent="0.25">
      <c r="A41" s="10">
        <f>IF(23&lt;=$D$12,23,"")</f>
        <v>23</v>
      </c>
      <c r="B41" s="11">
        <f>IF(23&lt;=$D$12,IF($C$16="","",EDATE($C$16,23-1)),"")</f>
        <v>670</v>
      </c>
      <c r="C41" s="12">
        <f>IF(23&lt;=$D$12,IF(23=1,$C$12,G40),"")</f>
        <v>0</v>
      </c>
      <c r="D41" s="12">
        <f>IF(23&lt;=$D$12,$F$12,"")</f>
        <v>0</v>
      </c>
      <c r="E41" s="12">
        <f>IF(23&lt;=$D$12,C41*($E$12/12),"")</f>
        <v>0</v>
      </c>
      <c r="F41" s="12">
        <f>IF(23&lt;=$D$12,D41-E41,"")</f>
        <v>0</v>
      </c>
      <c r="G41" s="12">
        <f>IF(23&lt;=$D$12,MAX(0,C41-F41),"")</f>
        <v>0</v>
      </c>
    </row>
    <row r="42" spans="1:7" x14ac:dyDescent="0.25">
      <c r="A42" s="10">
        <f>IF(24&lt;=$D$12,24,"")</f>
        <v>24</v>
      </c>
      <c r="B42" s="11">
        <f>IF(24&lt;=$D$12,IF($C$16="","",EDATE($C$16,24-1)),"")</f>
        <v>700</v>
      </c>
      <c r="C42" s="12">
        <f>IF(24&lt;=$D$12,IF(24=1,$C$12,G41),"")</f>
        <v>0</v>
      </c>
      <c r="D42" s="12">
        <f>IF(24&lt;=$D$12,$F$12,"")</f>
        <v>0</v>
      </c>
      <c r="E42" s="12">
        <f>IF(24&lt;=$D$12,C42*($E$12/12),"")</f>
        <v>0</v>
      </c>
      <c r="F42" s="12">
        <f>IF(24&lt;=$D$12,D42-E42,"")</f>
        <v>0</v>
      </c>
      <c r="G42" s="12">
        <f>IF(24&lt;=$D$12,MAX(0,C42-F42),"")</f>
        <v>0</v>
      </c>
    </row>
    <row r="43" spans="1:7" x14ac:dyDescent="0.25">
      <c r="A43" s="10">
        <f>IF(25&lt;=$D$12,25,"")</f>
        <v>25</v>
      </c>
      <c r="B43" s="11">
        <f>IF(25&lt;=$D$12,IF($C$16="","",EDATE($C$16,25-1)),"")</f>
        <v>731</v>
      </c>
      <c r="C43" s="12">
        <f>IF(25&lt;=$D$12,IF(25=1,$C$12,G42),"")</f>
        <v>0</v>
      </c>
      <c r="D43" s="12">
        <f>IF(25&lt;=$D$12,$F$12,"")</f>
        <v>0</v>
      </c>
      <c r="E43" s="12">
        <f>IF(25&lt;=$D$12,C43*($E$12/12),"")</f>
        <v>0</v>
      </c>
      <c r="F43" s="12">
        <f>IF(25&lt;=$D$12,D43-E43,"")</f>
        <v>0</v>
      </c>
      <c r="G43" s="12">
        <f>IF(25&lt;=$D$12,MAX(0,C43-F43),"")</f>
        <v>0</v>
      </c>
    </row>
    <row r="44" spans="1:7" x14ac:dyDescent="0.25">
      <c r="A44" s="10">
        <f>IF(26&lt;=$D$12,26,"")</f>
        <v>26</v>
      </c>
      <c r="B44" s="11">
        <f>IF(26&lt;=$D$12,IF($C$16="","",EDATE($C$16,26-1)),"")</f>
        <v>762</v>
      </c>
      <c r="C44" s="12">
        <f>IF(26&lt;=$D$12,IF(26=1,$C$12,G43),"")</f>
        <v>0</v>
      </c>
      <c r="D44" s="12">
        <f>IF(26&lt;=$D$12,$F$12,"")</f>
        <v>0</v>
      </c>
      <c r="E44" s="12">
        <f>IF(26&lt;=$D$12,C44*($E$12/12),"")</f>
        <v>0</v>
      </c>
      <c r="F44" s="12">
        <f>IF(26&lt;=$D$12,D44-E44,"")</f>
        <v>0</v>
      </c>
      <c r="G44" s="12">
        <f>IF(26&lt;=$D$12,MAX(0,C44-F44),"")</f>
        <v>0</v>
      </c>
    </row>
    <row r="45" spans="1:7" x14ac:dyDescent="0.25">
      <c r="A45" s="10">
        <f>IF(27&lt;=$D$12,27,"")</f>
        <v>27</v>
      </c>
      <c r="B45" s="11">
        <f>IF(27&lt;=$D$12,IF($C$16="","",EDATE($C$16,27-1)),"")</f>
        <v>790</v>
      </c>
      <c r="C45" s="12">
        <f>IF(27&lt;=$D$12,IF(27=1,$C$12,G44),"")</f>
        <v>0</v>
      </c>
      <c r="D45" s="12">
        <f>IF(27&lt;=$D$12,$F$12,"")</f>
        <v>0</v>
      </c>
      <c r="E45" s="12">
        <f>IF(27&lt;=$D$12,C45*($E$12/12),"")</f>
        <v>0</v>
      </c>
      <c r="F45" s="12">
        <f>IF(27&lt;=$D$12,D45-E45,"")</f>
        <v>0</v>
      </c>
      <c r="G45" s="12">
        <f>IF(27&lt;=$D$12,MAX(0,C45-F45),"")</f>
        <v>0</v>
      </c>
    </row>
    <row r="46" spans="1:7" x14ac:dyDescent="0.25">
      <c r="A46" s="10">
        <f>IF(28&lt;=$D$12,28,"")</f>
        <v>28</v>
      </c>
      <c r="B46" s="11">
        <f>IF(28&lt;=$D$12,IF($C$16="","",EDATE($C$16,28-1)),"")</f>
        <v>821</v>
      </c>
      <c r="C46" s="12">
        <f>IF(28&lt;=$D$12,IF(28=1,$C$12,G45),"")</f>
        <v>0</v>
      </c>
      <c r="D46" s="12">
        <f>IF(28&lt;=$D$12,$F$12,"")</f>
        <v>0</v>
      </c>
      <c r="E46" s="12">
        <f>IF(28&lt;=$D$12,C46*($E$12/12),"")</f>
        <v>0</v>
      </c>
      <c r="F46" s="12">
        <f>IF(28&lt;=$D$12,D46-E46,"")</f>
        <v>0</v>
      </c>
      <c r="G46" s="12">
        <f>IF(28&lt;=$D$12,MAX(0,C46-F46),"")</f>
        <v>0</v>
      </c>
    </row>
    <row r="47" spans="1:7" x14ac:dyDescent="0.25">
      <c r="A47" s="10">
        <f>IF(29&lt;=$D$12,29,"")</f>
        <v>29</v>
      </c>
      <c r="B47" s="11">
        <f>IF(29&lt;=$D$12,IF($C$16="","",EDATE($C$16,29-1)),"")</f>
        <v>851</v>
      </c>
      <c r="C47" s="12">
        <f>IF(29&lt;=$D$12,IF(29=1,$C$12,G46),"")</f>
        <v>0</v>
      </c>
      <c r="D47" s="12">
        <f>IF(29&lt;=$D$12,$F$12,"")</f>
        <v>0</v>
      </c>
      <c r="E47" s="12">
        <f>IF(29&lt;=$D$12,C47*($E$12/12),"")</f>
        <v>0</v>
      </c>
      <c r="F47" s="12">
        <f>IF(29&lt;=$D$12,D47-E47,"")</f>
        <v>0</v>
      </c>
      <c r="G47" s="12">
        <f>IF(29&lt;=$D$12,MAX(0,C47-F47),"")</f>
        <v>0</v>
      </c>
    </row>
    <row r="48" spans="1:7" x14ac:dyDescent="0.25">
      <c r="A48" s="10">
        <f>IF(30&lt;=$D$12,30,"")</f>
        <v>30</v>
      </c>
      <c r="B48" s="11">
        <f>IF(30&lt;=$D$12,IF($C$16="","",EDATE($C$16,30-1)),"")</f>
        <v>882</v>
      </c>
      <c r="C48" s="12">
        <f>IF(30&lt;=$D$12,IF(30=1,$C$12,G47),"")</f>
        <v>0</v>
      </c>
      <c r="D48" s="12">
        <f>IF(30&lt;=$D$12,$F$12,"")</f>
        <v>0</v>
      </c>
      <c r="E48" s="12">
        <f>IF(30&lt;=$D$12,C48*($E$12/12),"")</f>
        <v>0</v>
      </c>
      <c r="F48" s="12">
        <f>IF(30&lt;=$D$12,D48-E48,"")</f>
        <v>0</v>
      </c>
      <c r="G48" s="12">
        <f>IF(30&lt;=$D$12,MAX(0,C48-F48),"")</f>
        <v>0</v>
      </c>
    </row>
    <row r="49" spans="1:7" x14ac:dyDescent="0.25">
      <c r="A49" s="10">
        <f>IF(31&lt;=$D$12,31,"")</f>
        <v>31</v>
      </c>
      <c r="B49" s="11">
        <f>IF(31&lt;=$D$12,IF($C$16="","",EDATE($C$16,31-1)),"")</f>
        <v>912</v>
      </c>
      <c r="C49" s="12">
        <f>IF(31&lt;=$D$12,IF(31=1,$C$12,G48),"")</f>
        <v>0</v>
      </c>
      <c r="D49" s="12">
        <f>IF(31&lt;=$D$12,$F$12,"")</f>
        <v>0</v>
      </c>
      <c r="E49" s="12">
        <f>IF(31&lt;=$D$12,C49*($E$12/12),"")</f>
        <v>0</v>
      </c>
      <c r="F49" s="12">
        <f>IF(31&lt;=$D$12,D49-E49,"")</f>
        <v>0</v>
      </c>
      <c r="G49" s="12">
        <f>IF(31&lt;=$D$12,MAX(0,C49-F49),"")</f>
        <v>0</v>
      </c>
    </row>
    <row r="50" spans="1:7" x14ac:dyDescent="0.25">
      <c r="A50" s="10">
        <f>IF(32&lt;=$D$12,32,"")</f>
        <v>32</v>
      </c>
      <c r="B50" s="11">
        <f>IF(32&lt;=$D$12,IF($C$16="","",EDATE($C$16,32-1)),"")</f>
        <v>943</v>
      </c>
      <c r="C50" s="12">
        <f>IF(32&lt;=$D$12,IF(32=1,$C$12,G49),"")</f>
        <v>0</v>
      </c>
      <c r="D50" s="12">
        <f>IF(32&lt;=$D$12,$F$12,"")</f>
        <v>0</v>
      </c>
      <c r="E50" s="12">
        <f>IF(32&lt;=$D$12,C50*($E$12/12),"")</f>
        <v>0</v>
      </c>
      <c r="F50" s="12">
        <f>IF(32&lt;=$D$12,D50-E50,"")</f>
        <v>0</v>
      </c>
      <c r="G50" s="12">
        <f>IF(32&lt;=$D$12,MAX(0,C50-F50),"")</f>
        <v>0</v>
      </c>
    </row>
    <row r="51" spans="1:7" x14ac:dyDescent="0.25">
      <c r="A51" s="10">
        <f>IF(33&lt;=$D$12,33,"")</f>
        <v>33</v>
      </c>
      <c r="B51" s="11">
        <f>IF(33&lt;=$D$12,IF($C$16="","",EDATE($C$16,33-1)),"")</f>
        <v>974</v>
      </c>
      <c r="C51" s="12">
        <f>IF(33&lt;=$D$12,IF(33=1,$C$12,G50),"")</f>
        <v>0</v>
      </c>
      <c r="D51" s="12">
        <f>IF(33&lt;=$D$12,$F$12,"")</f>
        <v>0</v>
      </c>
      <c r="E51" s="12">
        <f>IF(33&lt;=$D$12,C51*($E$12/12),"")</f>
        <v>0</v>
      </c>
      <c r="F51" s="12">
        <f>IF(33&lt;=$D$12,D51-E51,"")</f>
        <v>0</v>
      </c>
      <c r="G51" s="12">
        <f>IF(33&lt;=$D$12,MAX(0,C51-F51),"")</f>
        <v>0</v>
      </c>
    </row>
    <row r="52" spans="1:7" x14ac:dyDescent="0.25">
      <c r="A52" s="10">
        <f>IF(34&lt;=$D$12,34,"")</f>
        <v>34</v>
      </c>
      <c r="B52" s="11">
        <f>IF(34&lt;=$D$12,IF($C$16="","",EDATE($C$16,34-1)),"")</f>
        <v>1004</v>
      </c>
      <c r="C52" s="12">
        <f>IF(34&lt;=$D$12,IF(34=1,$C$12,G51),"")</f>
        <v>0</v>
      </c>
      <c r="D52" s="12">
        <f>IF(34&lt;=$D$12,$F$12,"")</f>
        <v>0</v>
      </c>
      <c r="E52" s="12">
        <f>IF(34&lt;=$D$12,C52*($E$12/12),"")</f>
        <v>0</v>
      </c>
      <c r="F52" s="12">
        <f>IF(34&lt;=$D$12,D52-E52,"")</f>
        <v>0</v>
      </c>
      <c r="G52" s="12">
        <f>IF(34&lt;=$D$12,MAX(0,C52-F52),"")</f>
        <v>0</v>
      </c>
    </row>
    <row r="53" spans="1:7" x14ac:dyDescent="0.25">
      <c r="A53" s="10">
        <f>IF(35&lt;=$D$12,35,"")</f>
        <v>35</v>
      </c>
      <c r="B53" s="11">
        <f>IF(35&lt;=$D$12,IF($C$16="","",EDATE($C$16,35-1)),"")</f>
        <v>1035</v>
      </c>
      <c r="C53" s="12">
        <f>IF(35&lt;=$D$12,IF(35=1,$C$12,G52),"")</f>
        <v>0</v>
      </c>
      <c r="D53" s="12">
        <f>IF(35&lt;=$D$12,$F$12,"")</f>
        <v>0</v>
      </c>
      <c r="E53" s="12">
        <f>IF(35&lt;=$D$12,C53*($E$12/12),"")</f>
        <v>0</v>
      </c>
      <c r="F53" s="12">
        <f>IF(35&lt;=$D$12,D53-E53,"")</f>
        <v>0</v>
      </c>
      <c r="G53" s="12">
        <f>IF(35&lt;=$D$12,MAX(0,C53-F53),"")</f>
        <v>0</v>
      </c>
    </row>
    <row r="54" spans="1:7" x14ac:dyDescent="0.25">
      <c r="A54" s="10">
        <f>IF(36&lt;=$D$12,36,"")</f>
        <v>36</v>
      </c>
      <c r="B54" s="11">
        <f>IF(36&lt;=$D$12,IF($C$16="","",EDATE($C$16,36-1)),"")</f>
        <v>1065</v>
      </c>
      <c r="C54" s="12">
        <f>IF(36&lt;=$D$12,IF(36=1,$C$12,G53),"")</f>
        <v>0</v>
      </c>
      <c r="D54" s="12">
        <f>IF(36&lt;=$D$12,$F$12,"")</f>
        <v>0</v>
      </c>
      <c r="E54" s="12">
        <f>IF(36&lt;=$D$12,C54*($E$12/12),"")</f>
        <v>0</v>
      </c>
      <c r="F54" s="12">
        <f>IF(36&lt;=$D$12,D54-E54,"")</f>
        <v>0</v>
      </c>
      <c r="G54" s="12">
        <f>IF(36&lt;=$D$12,MAX(0,C54-F54),"")</f>
        <v>0</v>
      </c>
    </row>
    <row r="55" spans="1:7" x14ac:dyDescent="0.25">
      <c r="A55" s="10">
        <f>IF(37&lt;=$D$12,37,"")</f>
        <v>37</v>
      </c>
      <c r="B55" s="11">
        <f>IF(37&lt;=$D$12,IF($C$16="","",EDATE($C$16,37-1)),"")</f>
        <v>1096</v>
      </c>
      <c r="C55" s="12">
        <f>IF(37&lt;=$D$12,IF(37=1,$C$12,G54),"")</f>
        <v>0</v>
      </c>
      <c r="D55" s="12">
        <f>IF(37&lt;=$D$12,$F$12,"")</f>
        <v>0</v>
      </c>
      <c r="E55" s="12">
        <f>IF(37&lt;=$D$12,C55*($E$12/12),"")</f>
        <v>0</v>
      </c>
      <c r="F55" s="12">
        <f>IF(37&lt;=$D$12,D55-E55,"")</f>
        <v>0</v>
      </c>
      <c r="G55" s="12">
        <f>IF(37&lt;=$D$12,MAX(0,C55-F55),"")</f>
        <v>0</v>
      </c>
    </row>
    <row r="56" spans="1:7" x14ac:dyDescent="0.25">
      <c r="A56" s="10">
        <f>IF(38&lt;=$D$12,38,"")</f>
        <v>38</v>
      </c>
      <c r="B56" s="11">
        <f>IF(38&lt;=$D$12,IF($C$16="","",EDATE($C$16,38-1)),"")</f>
        <v>1127</v>
      </c>
      <c r="C56" s="12">
        <f>IF(38&lt;=$D$12,IF(38=1,$C$12,G55),"")</f>
        <v>0</v>
      </c>
      <c r="D56" s="12">
        <f>IF(38&lt;=$D$12,$F$12,"")</f>
        <v>0</v>
      </c>
      <c r="E56" s="12">
        <f>IF(38&lt;=$D$12,C56*($E$12/12),"")</f>
        <v>0</v>
      </c>
      <c r="F56" s="12">
        <f>IF(38&lt;=$D$12,D56-E56,"")</f>
        <v>0</v>
      </c>
      <c r="G56" s="12">
        <f>IF(38&lt;=$D$12,MAX(0,C56-F56),"")</f>
        <v>0</v>
      </c>
    </row>
    <row r="57" spans="1:7" x14ac:dyDescent="0.25">
      <c r="A57" s="10">
        <f>IF(39&lt;=$D$12,39,"")</f>
        <v>39</v>
      </c>
      <c r="B57" s="11">
        <f>IF(39&lt;=$D$12,IF($C$16="","",EDATE($C$16,39-1)),"")</f>
        <v>1155</v>
      </c>
      <c r="C57" s="12">
        <f>IF(39&lt;=$D$12,IF(39=1,$C$12,G56),"")</f>
        <v>0</v>
      </c>
      <c r="D57" s="12">
        <f>IF(39&lt;=$D$12,$F$12,"")</f>
        <v>0</v>
      </c>
      <c r="E57" s="12">
        <f>IF(39&lt;=$D$12,C57*($E$12/12),"")</f>
        <v>0</v>
      </c>
      <c r="F57" s="12">
        <f>IF(39&lt;=$D$12,D57-E57,"")</f>
        <v>0</v>
      </c>
      <c r="G57" s="12">
        <f>IF(39&lt;=$D$12,MAX(0,C57-F57),"")</f>
        <v>0</v>
      </c>
    </row>
    <row r="58" spans="1:7" x14ac:dyDescent="0.25">
      <c r="A58" s="10">
        <f>IF(40&lt;=$D$12,40,"")</f>
        <v>40</v>
      </c>
      <c r="B58" s="11">
        <f>IF(40&lt;=$D$12,IF($C$16="","",EDATE($C$16,40-1)),"")</f>
        <v>1186</v>
      </c>
      <c r="C58" s="12">
        <f>IF(40&lt;=$D$12,IF(40=1,$C$12,G57),"")</f>
        <v>0</v>
      </c>
      <c r="D58" s="12">
        <f>IF(40&lt;=$D$12,$F$12,"")</f>
        <v>0</v>
      </c>
      <c r="E58" s="12">
        <f>IF(40&lt;=$D$12,C58*($E$12/12),"")</f>
        <v>0</v>
      </c>
      <c r="F58" s="12">
        <f>IF(40&lt;=$D$12,D58-E58,"")</f>
        <v>0</v>
      </c>
      <c r="G58" s="12">
        <f>IF(40&lt;=$D$12,MAX(0,C58-F58),"")</f>
        <v>0</v>
      </c>
    </row>
    <row r="59" spans="1:7" x14ac:dyDescent="0.25">
      <c r="A59" s="10">
        <f>IF(41&lt;=$D$12,41,"")</f>
        <v>41</v>
      </c>
      <c r="B59" s="11">
        <f>IF(41&lt;=$D$12,IF($C$16="","",EDATE($C$16,41-1)),"")</f>
        <v>1216</v>
      </c>
      <c r="C59" s="12">
        <f>IF(41&lt;=$D$12,IF(41=1,$C$12,G58),"")</f>
        <v>0</v>
      </c>
      <c r="D59" s="12">
        <f>IF(41&lt;=$D$12,$F$12,"")</f>
        <v>0</v>
      </c>
      <c r="E59" s="12">
        <f>IF(41&lt;=$D$12,C59*($E$12/12),"")</f>
        <v>0</v>
      </c>
      <c r="F59" s="12">
        <f>IF(41&lt;=$D$12,D59-E59,"")</f>
        <v>0</v>
      </c>
      <c r="G59" s="12">
        <f>IF(41&lt;=$D$12,MAX(0,C59-F59),"")</f>
        <v>0</v>
      </c>
    </row>
    <row r="60" spans="1:7" x14ac:dyDescent="0.25">
      <c r="A60" s="10">
        <f>IF(42&lt;=$D$12,42,"")</f>
        <v>42</v>
      </c>
      <c r="B60" s="11">
        <f>IF(42&lt;=$D$12,IF($C$16="","",EDATE($C$16,42-1)),"")</f>
        <v>1247</v>
      </c>
      <c r="C60" s="12">
        <f>IF(42&lt;=$D$12,IF(42=1,$C$12,G59),"")</f>
        <v>0</v>
      </c>
      <c r="D60" s="12">
        <f>IF(42&lt;=$D$12,$F$12,"")</f>
        <v>0</v>
      </c>
      <c r="E60" s="12">
        <f>IF(42&lt;=$D$12,C60*($E$12/12),"")</f>
        <v>0</v>
      </c>
      <c r="F60" s="12">
        <f>IF(42&lt;=$D$12,D60-E60,"")</f>
        <v>0</v>
      </c>
      <c r="G60" s="12">
        <f>IF(42&lt;=$D$12,MAX(0,C60-F60),"")</f>
        <v>0</v>
      </c>
    </row>
    <row r="61" spans="1:7" x14ac:dyDescent="0.25">
      <c r="A61" s="10">
        <f>IF(43&lt;=$D$12,43,"")</f>
        <v>43</v>
      </c>
      <c r="B61" s="11">
        <f>IF(43&lt;=$D$12,IF($C$16="","",EDATE($C$16,43-1)),"")</f>
        <v>1277</v>
      </c>
      <c r="C61" s="12">
        <f>IF(43&lt;=$D$12,IF(43=1,$C$12,G60),"")</f>
        <v>0</v>
      </c>
      <c r="D61" s="12">
        <f>IF(43&lt;=$D$12,$F$12,"")</f>
        <v>0</v>
      </c>
      <c r="E61" s="12">
        <f>IF(43&lt;=$D$12,C61*($E$12/12),"")</f>
        <v>0</v>
      </c>
      <c r="F61" s="12">
        <f>IF(43&lt;=$D$12,D61-E61,"")</f>
        <v>0</v>
      </c>
      <c r="G61" s="12">
        <f>IF(43&lt;=$D$12,MAX(0,C61-F61),"")</f>
        <v>0</v>
      </c>
    </row>
    <row r="62" spans="1:7" x14ac:dyDescent="0.25">
      <c r="A62" s="10">
        <f>IF(44&lt;=$D$12,44,"")</f>
        <v>44</v>
      </c>
      <c r="B62" s="11">
        <f>IF(44&lt;=$D$12,IF($C$16="","",EDATE($C$16,44-1)),"")</f>
        <v>1308</v>
      </c>
      <c r="C62" s="12">
        <f>IF(44&lt;=$D$12,IF(44=1,$C$12,G61),"")</f>
        <v>0</v>
      </c>
      <c r="D62" s="12">
        <f>IF(44&lt;=$D$12,$F$12,"")</f>
        <v>0</v>
      </c>
      <c r="E62" s="12">
        <f>IF(44&lt;=$D$12,C62*($E$12/12),"")</f>
        <v>0</v>
      </c>
      <c r="F62" s="12">
        <f>IF(44&lt;=$D$12,D62-E62,"")</f>
        <v>0</v>
      </c>
      <c r="G62" s="12">
        <f>IF(44&lt;=$D$12,MAX(0,C62-F62),"")</f>
        <v>0</v>
      </c>
    </row>
    <row r="63" spans="1:7" x14ac:dyDescent="0.25">
      <c r="A63" s="10">
        <f>IF(45&lt;=$D$12,45,"")</f>
        <v>45</v>
      </c>
      <c r="B63" s="11">
        <f>IF(45&lt;=$D$12,IF($C$16="","",EDATE($C$16,45-1)),"")</f>
        <v>1339</v>
      </c>
      <c r="C63" s="12">
        <f>IF(45&lt;=$D$12,IF(45=1,$C$12,G62),"")</f>
        <v>0</v>
      </c>
      <c r="D63" s="12">
        <f>IF(45&lt;=$D$12,$F$12,"")</f>
        <v>0</v>
      </c>
      <c r="E63" s="12">
        <f>IF(45&lt;=$D$12,C63*($E$12/12),"")</f>
        <v>0</v>
      </c>
      <c r="F63" s="12">
        <f>IF(45&lt;=$D$12,D63-E63,"")</f>
        <v>0</v>
      </c>
      <c r="G63" s="12">
        <f>IF(45&lt;=$D$12,MAX(0,C63-F63),"")</f>
        <v>0</v>
      </c>
    </row>
    <row r="64" spans="1:7" x14ac:dyDescent="0.25">
      <c r="A64" s="10">
        <f>IF(46&lt;=$D$12,46,"")</f>
        <v>46</v>
      </c>
      <c r="B64" s="11">
        <f>IF(46&lt;=$D$12,IF($C$16="","",EDATE($C$16,46-1)),"")</f>
        <v>1369</v>
      </c>
      <c r="C64" s="12">
        <f>IF(46&lt;=$D$12,IF(46=1,$C$12,G63),"")</f>
        <v>0</v>
      </c>
      <c r="D64" s="12">
        <f>IF(46&lt;=$D$12,$F$12,"")</f>
        <v>0</v>
      </c>
      <c r="E64" s="12">
        <f>IF(46&lt;=$D$12,C64*($E$12/12),"")</f>
        <v>0</v>
      </c>
      <c r="F64" s="12">
        <f>IF(46&lt;=$D$12,D64-E64,"")</f>
        <v>0</v>
      </c>
      <c r="G64" s="12">
        <f>IF(46&lt;=$D$12,MAX(0,C64-F64),"")</f>
        <v>0</v>
      </c>
    </row>
    <row r="65" spans="1:7" x14ac:dyDescent="0.25">
      <c r="A65" s="10">
        <f>IF(47&lt;=$D$12,47,"")</f>
        <v>47</v>
      </c>
      <c r="B65" s="11">
        <f>IF(47&lt;=$D$12,IF($C$16="","",EDATE($C$16,47-1)),"")</f>
        <v>1400</v>
      </c>
      <c r="C65" s="12">
        <f>IF(47&lt;=$D$12,IF(47=1,$C$12,G64),"")</f>
        <v>0</v>
      </c>
      <c r="D65" s="12">
        <f>IF(47&lt;=$D$12,$F$12,"")</f>
        <v>0</v>
      </c>
      <c r="E65" s="12">
        <f>IF(47&lt;=$D$12,C65*($E$12/12),"")</f>
        <v>0</v>
      </c>
      <c r="F65" s="12">
        <f>IF(47&lt;=$D$12,D65-E65,"")</f>
        <v>0</v>
      </c>
      <c r="G65" s="12">
        <f>IF(47&lt;=$D$12,MAX(0,C65-F65),"")</f>
        <v>0</v>
      </c>
    </row>
    <row r="66" spans="1:7" x14ac:dyDescent="0.25">
      <c r="A66" s="10">
        <f>IF(48&lt;=$D$12,48,"")</f>
        <v>48</v>
      </c>
      <c r="B66" s="11">
        <f>IF(48&lt;=$D$12,IF($C$16="","",EDATE($C$16,48-1)),"")</f>
        <v>1430</v>
      </c>
      <c r="C66" s="12">
        <f>IF(48&lt;=$D$12,IF(48=1,$C$12,G65),"")</f>
        <v>0</v>
      </c>
      <c r="D66" s="12">
        <f>IF(48&lt;=$D$12,$F$12,"")</f>
        <v>0</v>
      </c>
      <c r="E66" s="12">
        <f>IF(48&lt;=$D$12,C66*($E$12/12),"")</f>
        <v>0</v>
      </c>
      <c r="F66" s="12">
        <f>IF(48&lt;=$D$12,D66-E66,"")</f>
        <v>0</v>
      </c>
      <c r="G66" s="12">
        <f>IF(48&lt;=$D$12,MAX(0,C66-F66),"")</f>
        <v>0</v>
      </c>
    </row>
    <row r="67" spans="1:7" x14ac:dyDescent="0.25">
      <c r="A67" s="10">
        <f>IF(49&lt;=$D$12,49,"")</f>
        <v>49</v>
      </c>
      <c r="B67" s="11">
        <f>IF(49&lt;=$D$12,IF($C$16="","",EDATE($C$16,49-1)),"")</f>
        <v>1461</v>
      </c>
      <c r="C67" s="12">
        <f>IF(49&lt;=$D$12,IF(49=1,$C$12,G66),"")</f>
        <v>0</v>
      </c>
      <c r="D67" s="12">
        <f>IF(49&lt;=$D$12,$F$12,"")</f>
        <v>0</v>
      </c>
      <c r="E67" s="12">
        <f>IF(49&lt;=$D$12,C67*($E$12/12),"")</f>
        <v>0</v>
      </c>
      <c r="F67" s="12">
        <f>IF(49&lt;=$D$12,D67-E67,"")</f>
        <v>0</v>
      </c>
      <c r="G67" s="12">
        <f>IF(49&lt;=$D$12,MAX(0,C67-F67),"")</f>
        <v>0</v>
      </c>
    </row>
    <row r="68" spans="1:7" x14ac:dyDescent="0.25">
      <c r="A68" s="10">
        <f>IF(50&lt;=$D$12,50,"")</f>
        <v>50</v>
      </c>
      <c r="B68" s="11">
        <f>IF(50&lt;=$D$12,IF($C$16="","",EDATE($C$16,50-1)),"")</f>
        <v>1492</v>
      </c>
      <c r="C68" s="12">
        <f>IF(50&lt;=$D$12,IF(50=1,$C$12,G67),"")</f>
        <v>0</v>
      </c>
      <c r="D68" s="12">
        <f>IF(50&lt;=$D$12,$F$12,"")</f>
        <v>0</v>
      </c>
      <c r="E68" s="12">
        <f>IF(50&lt;=$D$12,C68*($E$12/12),"")</f>
        <v>0</v>
      </c>
      <c r="F68" s="12">
        <f>IF(50&lt;=$D$12,D68-E68,"")</f>
        <v>0</v>
      </c>
      <c r="G68" s="12">
        <f>IF(50&lt;=$D$12,MAX(0,C68-F68),"")</f>
        <v>0</v>
      </c>
    </row>
    <row r="69" spans="1:7" x14ac:dyDescent="0.25">
      <c r="A69" s="10">
        <f>IF(51&lt;=$D$12,51,"")</f>
        <v>51</v>
      </c>
      <c r="B69" s="11">
        <f>IF(51&lt;=$D$12,IF($C$16="","",EDATE($C$16,51-1)),"")</f>
        <v>1521</v>
      </c>
      <c r="C69" s="12">
        <f>IF(51&lt;=$D$12,IF(51=1,$C$12,G68),"")</f>
        <v>0</v>
      </c>
      <c r="D69" s="12">
        <f>IF(51&lt;=$D$12,$F$12,"")</f>
        <v>0</v>
      </c>
      <c r="E69" s="12">
        <f>IF(51&lt;=$D$12,C69*($E$12/12),"")</f>
        <v>0</v>
      </c>
      <c r="F69" s="12">
        <f>IF(51&lt;=$D$12,D69-E69,"")</f>
        <v>0</v>
      </c>
      <c r="G69" s="12">
        <f>IF(51&lt;=$D$12,MAX(0,C69-F69),"")</f>
        <v>0</v>
      </c>
    </row>
    <row r="70" spans="1:7" x14ac:dyDescent="0.25">
      <c r="A70" s="10">
        <f>IF(52&lt;=$D$12,52,"")</f>
        <v>52</v>
      </c>
      <c r="B70" s="11">
        <f>IF(52&lt;=$D$12,IF($C$16="","",EDATE($C$16,52-1)),"")</f>
        <v>1552</v>
      </c>
      <c r="C70" s="12">
        <f>IF(52&lt;=$D$12,IF(52=1,$C$12,G69),"")</f>
        <v>0</v>
      </c>
      <c r="D70" s="12">
        <f>IF(52&lt;=$D$12,$F$12,"")</f>
        <v>0</v>
      </c>
      <c r="E70" s="12">
        <f>IF(52&lt;=$D$12,C70*($E$12/12),"")</f>
        <v>0</v>
      </c>
      <c r="F70" s="12">
        <f>IF(52&lt;=$D$12,D70-E70,"")</f>
        <v>0</v>
      </c>
      <c r="G70" s="12">
        <f>IF(52&lt;=$D$12,MAX(0,C70-F70),"")</f>
        <v>0</v>
      </c>
    </row>
    <row r="71" spans="1:7" x14ac:dyDescent="0.25">
      <c r="A71" s="10">
        <f>IF(53&lt;=$D$12,53,"")</f>
        <v>53</v>
      </c>
      <c r="B71" s="11">
        <f>IF(53&lt;=$D$12,IF($C$16="","",EDATE($C$16,53-1)),"")</f>
        <v>1582</v>
      </c>
      <c r="C71" s="12">
        <f>IF(53&lt;=$D$12,IF(53=1,$C$12,G70),"")</f>
        <v>0</v>
      </c>
      <c r="D71" s="12">
        <f>IF(53&lt;=$D$12,$F$12,"")</f>
        <v>0</v>
      </c>
      <c r="E71" s="12">
        <f>IF(53&lt;=$D$12,C71*($E$12/12),"")</f>
        <v>0</v>
      </c>
      <c r="F71" s="12">
        <f>IF(53&lt;=$D$12,D71-E71,"")</f>
        <v>0</v>
      </c>
      <c r="G71" s="12">
        <f>IF(53&lt;=$D$12,MAX(0,C71-F71),"")</f>
        <v>0</v>
      </c>
    </row>
    <row r="72" spans="1:7" x14ac:dyDescent="0.25">
      <c r="A72" s="10">
        <f>IF(54&lt;=$D$12,54,"")</f>
        <v>54</v>
      </c>
      <c r="B72" s="11">
        <f>IF(54&lt;=$D$12,IF($C$16="","",EDATE($C$16,54-1)),"")</f>
        <v>1613</v>
      </c>
      <c r="C72" s="12">
        <f>IF(54&lt;=$D$12,IF(54=1,$C$12,G71),"")</f>
        <v>0</v>
      </c>
      <c r="D72" s="12">
        <f>IF(54&lt;=$D$12,$F$12,"")</f>
        <v>0</v>
      </c>
      <c r="E72" s="12">
        <f>IF(54&lt;=$D$12,C72*($E$12/12),"")</f>
        <v>0</v>
      </c>
      <c r="F72" s="12">
        <f>IF(54&lt;=$D$12,D72-E72,"")</f>
        <v>0</v>
      </c>
      <c r="G72" s="12">
        <f>IF(54&lt;=$D$12,MAX(0,C72-F72),"")</f>
        <v>0</v>
      </c>
    </row>
    <row r="73" spans="1:7" x14ac:dyDescent="0.25">
      <c r="A73" s="10">
        <f>IF(55&lt;=$D$12,55,"")</f>
        <v>55</v>
      </c>
      <c r="B73" s="11">
        <f>IF(55&lt;=$D$12,IF($C$16="","",EDATE($C$16,55-1)),"")</f>
        <v>1643</v>
      </c>
      <c r="C73" s="12">
        <f>IF(55&lt;=$D$12,IF(55=1,$C$12,G72),"")</f>
        <v>0</v>
      </c>
      <c r="D73" s="12">
        <f>IF(55&lt;=$D$12,$F$12,"")</f>
        <v>0</v>
      </c>
      <c r="E73" s="12">
        <f>IF(55&lt;=$D$12,C73*($E$12/12),"")</f>
        <v>0</v>
      </c>
      <c r="F73" s="12">
        <f>IF(55&lt;=$D$12,D73-E73,"")</f>
        <v>0</v>
      </c>
      <c r="G73" s="12">
        <f>IF(55&lt;=$D$12,MAX(0,C73-F73),"")</f>
        <v>0</v>
      </c>
    </row>
    <row r="74" spans="1:7" x14ac:dyDescent="0.25">
      <c r="A74" s="10">
        <f>IF(56&lt;=$D$12,56,"")</f>
        <v>56</v>
      </c>
      <c r="B74" s="11">
        <f>IF(56&lt;=$D$12,IF($C$16="","",EDATE($C$16,56-1)),"")</f>
        <v>1674</v>
      </c>
      <c r="C74" s="12">
        <f>IF(56&lt;=$D$12,IF(56=1,$C$12,G73),"")</f>
        <v>0</v>
      </c>
      <c r="D74" s="12">
        <f>IF(56&lt;=$D$12,$F$12,"")</f>
        <v>0</v>
      </c>
      <c r="E74" s="12">
        <f>IF(56&lt;=$D$12,C74*($E$12/12),"")</f>
        <v>0</v>
      </c>
      <c r="F74" s="12">
        <f>IF(56&lt;=$D$12,D74-E74,"")</f>
        <v>0</v>
      </c>
      <c r="G74" s="12">
        <f>IF(56&lt;=$D$12,MAX(0,C74-F74),"")</f>
        <v>0</v>
      </c>
    </row>
    <row r="75" spans="1:7" x14ac:dyDescent="0.25">
      <c r="A75" s="10">
        <f>IF(57&lt;=$D$12,57,"")</f>
        <v>57</v>
      </c>
      <c r="B75" s="11">
        <f>IF(57&lt;=$D$12,IF($C$16="","",EDATE($C$16,57-1)),"")</f>
        <v>1705</v>
      </c>
      <c r="C75" s="12">
        <f>IF(57&lt;=$D$12,IF(57=1,$C$12,G74),"")</f>
        <v>0</v>
      </c>
      <c r="D75" s="12">
        <f>IF(57&lt;=$D$12,$F$12,"")</f>
        <v>0</v>
      </c>
      <c r="E75" s="12">
        <f>IF(57&lt;=$D$12,C75*($E$12/12),"")</f>
        <v>0</v>
      </c>
      <c r="F75" s="12">
        <f>IF(57&lt;=$D$12,D75-E75,"")</f>
        <v>0</v>
      </c>
      <c r="G75" s="12">
        <f>IF(57&lt;=$D$12,MAX(0,C75-F75),"")</f>
        <v>0</v>
      </c>
    </row>
    <row r="76" spans="1:7" x14ac:dyDescent="0.25">
      <c r="A76" s="10">
        <f>IF(58&lt;=$D$12,58,"")</f>
        <v>58</v>
      </c>
      <c r="B76" s="11">
        <f>IF(58&lt;=$D$12,IF($C$16="","",EDATE($C$16,58-1)),"")</f>
        <v>1735</v>
      </c>
      <c r="C76" s="12">
        <f>IF(58&lt;=$D$12,IF(58=1,$C$12,G75),"")</f>
        <v>0</v>
      </c>
      <c r="D76" s="12">
        <f>IF(58&lt;=$D$12,$F$12,"")</f>
        <v>0</v>
      </c>
      <c r="E76" s="12">
        <f>IF(58&lt;=$D$12,C76*($E$12/12),"")</f>
        <v>0</v>
      </c>
      <c r="F76" s="12">
        <f>IF(58&lt;=$D$12,D76-E76,"")</f>
        <v>0</v>
      </c>
      <c r="G76" s="12">
        <f>IF(58&lt;=$D$12,MAX(0,C76-F76),"")</f>
        <v>0</v>
      </c>
    </row>
    <row r="77" spans="1:7" x14ac:dyDescent="0.25">
      <c r="A77" s="10">
        <f>IF(59&lt;=$D$12,59,"")</f>
        <v>59</v>
      </c>
      <c r="B77" s="11">
        <f>IF(59&lt;=$D$12,IF($C$16="","",EDATE($C$16,59-1)),"")</f>
        <v>1766</v>
      </c>
      <c r="C77" s="12">
        <f>IF(59&lt;=$D$12,IF(59=1,$C$12,G76),"")</f>
        <v>0</v>
      </c>
      <c r="D77" s="12">
        <f>IF(59&lt;=$D$12,$F$12,"")</f>
        <v>0</v>
      </c>
      <c r="E77" s="12">
        <f>IF(59&lt;=$D$12,C77*($E$12/12),"")</f>
        <v>0</v>
      </c>
      <c r="F77" s="12">
        <f>IF(59&lt;=$D$12,D77-E77,"")</f>
        <v>0</v>
      </c>
      <c r="G77" s="12">
        <f>IF(59&lt;=$D$12,MAX(0,C77-F77),"")</f>
        <v>0</v>
      </c>
    </row>
    <row r="78" spans="1:7" x14ac:dyDescent="0.25">
      <c r="A78" s="10">
        <f>IF(60&lt;=$D$12,60,"")</f>
        <v>60</v>
      </c>
      <c r="B78" s="11">
        <f>IF(60&lt;=$D$12,IF($C$16="","",EDATE($C$16,60-1)),"")</f>
        <v>1796</v>
      </c>
      <c r="C78" s="12">
        <f>IF(60&lt;=$D$12,IF(60=1,$C$12,G77),"")</f>
        <v>0</v>
      </c>
      <c r="D78" s="12">
        <f>IF(60&lt;=$D$12,$F$12,"")</f>
        <v>0</v>
      </c>
      <c r="E78" s="12">
        <f>IF(60&lt;=$D$12,C78*($E$12/12),"")</f>
        <v>0</v>
      </c>
      <c r="F78" s="12">
        <f>IF(60&lt;=$D$12,D78-E78,"")</f>
        <v>0</v>
      </c>
      <c r="G78" s="12">
        <f>IF(60&lt;=$D$12,MAX(0,C78-F78),"")</f>
        <v>0</v>
      </c>
    </row>
    <row r="79" spans="1:7" x14ac:dyDescent="0.25">
      <c r="A79" s="10">
        <f>IF(61&lt;=$D$12,61,"")</f>
        <v>61</v>
      </c>
      <c r="B79" s="11">
        <f>IF(61&lt;=$D$12,IF($C$16="","",EDATE($C$16,61-1)),"")</f>
        <v>1827</v>
      </c>
      <c r="C79" s="12">
        <f>IF(61&lt;=$D$12,IF(61=1,$C$12,G78),"")</f>
        <v>0</v>
      </c>
      <c r="D79" s="12">
        <f>IF(61&lt;=$D$12,$F$12,"")</f>
        <v>0</v>
      </c>
      <c r="E79" s="12">
        <f>IF(61&lt;=$D$12,C79*($E$12/12),"")</f>
        <v>0</v>
      </c>
      <c r="F79" s="12">
        <f>IF(61&lt;=$D$12,D79-E79,"")</f>
        <v>0</v>
      </c>
      <c r="G79" s="12">
        <f>IF(61&lt;=$D$12,MAX(0,C79-F79),"")</f>
        <v>0</v>
      </c>
    </row>
    <row r="80" spans="1:7" x14ac:dyDescent="0.25">
      <c r="A80" s="10">
        <f>IF(62&lt;=$D$12,62,"")</f>
        <v>62</v>
      </c>
      <c r="B80" s="11">
        <f>IF(62&lt;=$D$12,IF($C$16="","",EDATE($C$16,62-1)),"")</f>
        <v>1858</v>
      </c>
      <c r="C80" s="12">
        <f>IF(62&lt;=$D$12,IF(62=1,$C$12,G79),"")</f>
        <v>0</v>
      </c>
      <c r="D80" s="12">
        <f>IF(62&lt;=$D$12,$F$12,"")</f>
        <v>0</v>
      </c>
      <c r="E80" s="12">
        <f>IF(62&lt;=$D$12,C80*($E$12/12),"")</f>
        <v>0</v>
      </c>
      <c r="F80" s="12">
        <f>IF(62&lt;=$D$12,D80-E80,"")</f>
        <v>0</v>
      </c>
      <c r="G80" s="12">
        <f>IF(62&lt;=$D$12,MAX(0,C80-F80),"")</f>
        <v>0</v>
      </c>
    </row>
    <row r="81" spans="1:7" x14ac:dyDescent="0.25">
      <c r="A81" s="10">
        <f>IF(63&lt;=$D$12,63,"")</f>
        <v>63</v>
      </c>
      <c r="B81" s="11">
        <f>IF(63&lt;=$D$12,IF($C$16="","",EDATE($C$16,63-1)),"")</f>
        <v>1886</v>
      </c>
      <c r="C81" s="12">
        <f>IF(63&lt;=$D$12,IF(63=1,$C$12,G80),"")</f>
        <v>0</v>
      </c>
      <c r="D81" s="12">
        <f>IF(63&lt;=$D$12,$F$12,"")</f>
        <v>0</v>
      </c>
      <c r="E81" s="12">
        <f>IF(63&lt;=$D$12,C81*($E$12/12),"")</f>
        <v>0</v>
      </c>
      <c r="F81" s="12">
        <f>IF(63&lt;=$D$12,D81-E81,"")</f>
        <v>0</v>
      </c>
      <c r="G81" s="12">
        <f>IF(63&lt;=$D$12,MAX(0,C81-F81),"")</f>
        <v>0</v>
      </c>
    </row>
    <row r="82" spans="1:7" x14ac:dyDescent="0.25">
      <c r="A82" s="10">
        <f>IF(64&lt;=$D$12,64,"")</f>
        <v>64</v>
      </c>
      <c r="B82" s="11">
        <f>IF(64&lt;=$D$12,IF($C$16="","",EDATE($C$16,64-1)),"")</f>
        <v>1917</v>
      </c>
      <c r="C82" s="12">
        <f>IF(64&lt;=$D$12,IF(64=1,$C$12,G81),"")</f>
        <v>0</v>
      </c>
      <c r="D82" s="12">
        <f>IF(64&lt;=$D$12,$F$12,"")</f>
        <v>0</v>
      </c>
      <c r="E82" s="12">
        <f>IF(64&lt;=$D$12,C82*($E$12/12),"")</f>
        <v>0</v>
      </c>
      <c r="F82" s="12">
        <f>IF(64&lt;=$D$12,D82-E82,"")</f>
        <v>0</v>
      </c>
      <c r="G82" s="12">
        <f>IF(64&lt;=$D$12,MAX(0,C82-F82),"")</f>
        <v>0</v>
      </c>
    </row>
    <row r="83" spans="1:7" x14ac:dyDescent="0.25">
      <c r="A83" s="10">
        <f>IF(65&lt;=$D$12,65,"")</f>
        <v>65</v>
      </c>
      <c r="B83" s="11">
        <f>IF(65&lt;=$D$12,IF($C$16="","",EDATE($C$16,65-1)),"")</f>
        <v>1947</v>
      </c>
      <c r="C83" s="12">
        <f>IF(65&lt;=$D$12,IF(65=1,$C$12,G82),"")</f>
        <v>0</v>
      </c>
      <c r="D83" s="12">
        <f>IF(65&lt;=$D$12,$F$12,"")</f>
        <v>0</v>
      </c>
      <c r="E83" s="12">
        <f>IF(65&lt;=$D$12,C83*($E$12/12),"")</f>
        <v>0</v>
      </c>
      <c r="F83" s="12">
        <f>IF(65&lt;=$D$12,D83-E83,"")</f>
        <v>0</v>
      </c>
      <c r="G83" s="12">
        <f>IF(65&lt;=$D$12,MAX(0,C83-F83),"")</f>
        <v>0</v>
      </c>
    </row>
    <row r="84" spans="1:7" x14ac:dyDescent="0.25">
      <c r="A84" s="10">
        <f>IF(66&lt;=$D$12,66,"")</f>
        <v>66</v>
      </c>
      <c r="B84" s="11">
        <f>IF(66&lt;=$D$12,IF($C$16="","",EDATE($C$16,66-1)),"")</f>
        <v>1978</v>
      </c>
      <c r="C84" s="12">
        <f>IF(66&lt;=$D$12,IF(66=1,$C$12,G83),"")</f>
        <v>0</v>
      </c>
      <c r="D84" s="12">
        <f>IF(66&lt;=$D$12,$F$12,"")</f>
        <v>0</v>
      </c>
      <c r="E84" s="12">
        <f>IF(66&lt;=$D$12,C84*($E$12/12),"")</f>
        <v>0</v>
      </c>
      <c r="F84" s="12">
        <f>IF(66&lt;=$D$12,D84-E84,"")</f>
        <v>0</v>
      </c>
      <c r="G84" s="12">
        <f>IF(66&lt;=$D$12,MAX(0,C84-F84),"")</f>
        <v>0</v>
      </c>
    </row>
    <row r="85" spans="1:7" x14ac:dyDescent="0.25">
      <c r="A85" s="10">
        <f>IF(67&lt;=$D$12,67,"")</f>
        <v>67</v>
      </c>
      <c r="B85" s="11">
        <f>IF(67&lt;=$D$12,IF($C$16="","",EDATE($C$16,67-1)),"")</f>
        <v>2008</v>
      </c>
      <c r="C85" s="12">
        <f>IF(67&lt;=$D$12,IF(67=1,$C$12,G84),"")</f>
        <v>0</v>
      </c>
      <c r="D85" s="12">
        <f>IF(67&lt;=$D$12,$F$12,"")</f>
        <v>0</v>
      </c>
      <c r="E85" s="12">
        <f>IF(67&lt;=$D$12,C85*($E$12/12),"")</f>
        <v>0</v>
      </c>
      <c r="F85" s="12">
        <f>IF(67&lt;=$D$12,D85-E85,"")</f>
        <v>0</v>
      </c>
      <c r="G85" s="12">
        <f>IF(67&lt;=$D$12,MAX(0,C85-F85),"")</f>
        <v>0</v>
      </c>
    </row>
    <row r="86" spans="1:7" x14ac:dyDescent="0.25">
      <c r="A86" s="10">
        <f>IF(68&lt;=$D$12,68,"")</f>
        <v>68</v>
      </c>
      <c r="B86" s="11">
        <f>IF(68&lt;=$D$12,IF($C$16="","",EDATE($C$16,68-1)),"")</f>
        <v>2039</v>
      </c>
      <c r="C86" s="12">
        <f>IF(68&lt;=$D$12,IF(68=1,$C$12,G85),"")</f>
        <v>0</v>
      </c>
      <c r="D86" s="12">
        <f>IF(68&lt;=$D$12,$F$12,"")</f>
        <v>0</v>
      </c>
      <c r="E86" s="12">
        <f>IF(68&lt;=$D$12,C86*($E$12/12),"")</f>
        <v>0</v>
      </c>
      <c r="F86" s="12">
        <f>IF(68&lt;=$D$12,D86-E86,"")</f>
        <v>0</v>
      </c>
      <c r="G86" s="12">
        <f>IF(68&lt;=$D$12,MAX(0,C86-F86),"")</f>
        <v>0</v>
      </c>
    </row>
    <row r="87" spans="1:7" x14ac:dyDescent="0.25">
      <c r="A87" s="10">
        <f>IF(69&lt;=$D$12,69,"")</f>
        <v>69</v>
      </c>
      <c r="B87" s="11">
        <f>IF(69&lt;=$D$12,IF($C$16="","",EDATE($C$16,69-1)),"")</f>
        <v>2070</v>
      </c>
      <c r="C87" s="12">
        <f>IF(69&lt;=$D$12,IF(69=1,$C$12,G86),"")</f>
        <v>0</v>
      </c>
      <c r="D87" s="12">
        <f>IF(69&lt;=$D$12,$F$12,"")</f>
        <v>0</v>
      </c>
      <c r="E87" s="12">
        <f>IF(69&lt;=$D$12,C87*($E$12/12),"")</f>
        <v>0</v>
      </c>
      <c r="F87" s="12">
        <f>IF(69&lt;=$D$12,D87-E87,"")</f>
        <v>0</v>
      </c>
      <c r="G87" s="12">
        <f>IF(69&lt;=$D$12,MAX(0,C87-F87),"")</f>
        <v>0</v>
      </c>
    </row>
    <row r="88" spans="1:7" x14ac:dyDescent="0.25">
      <c r="A88" s="10">
        <f>IF(70&lt;=$D$12,70,"")</f>
        <v>70</v>
      </c>
      <c r="B88" s="11">
        <f>IF(70&lt;=$D$12,IF($C$16="","",EDATE($C$16,70-1)),"")</f>
        <v>2100</v>
      </c>
      <c r="C88" s="12">
        <f>IF(70&lt;=$D$12,IF(70=1,$C$12,G87),"")</f>
        <v>0</v>
      </c>
      <c r="D88" s="12">
        <f>IF(70&lt;=$D$12,$F$12,"")</f>
        <v>0</v>
      </c>
      <c r="E88" s="12">
        <f>IF(70&lt;=$D$12,C88*($E$12/12),"")</f>
        <v>0</v>
      </c>
      <c r="F88" s="12">
        <f>IF(70&lt;=$D$12,D88-E88,"")</f>
        <v>0</v>
      </c>
      <c r="G88" s="12">
        <f>IF(70&lt;=$D$12,MAX(0,C88-F88),"")</f>
        <v>0</v>
      </c>
    </row>
    <row r="89" spans="1:7" x14ac:dyDescent="0.25">
      <c r="A89" s="10">
        <f>IF(71&lt;=$D$12,71,"")</f>
        <v>71</v>
      </c>
      <c r="B89" s="11">
        <f>IF(71&lt;=$D$12,IF($C$16="","",EDATE($C$16,71-1)),"")</f>
        <v>2131</v>
      </c>
      <c r="C89" s="12">
        <f>IF(71&lt;=$D$12,IF(71=1,$C$12,G88),"")</f>
        <v>0</v>
      </c>
      <c r="D89" s="12">
        <f>IF(71&lt;=$D$12,$F$12,"")</f>
        <v>0</v>
      </c>
      <c r="E89" s="12">
        <f>IF(71&lt;=$D$12,C89*($E$12/12),"")</f>
        <v>0</v>
      </c>
      <c r="F89" s="12">
        <f>IF(71&lt;=$D$12,D89-E89,"")</f>
        <v>0</v>
      </c>
      <c r="G89" s="12">
        <f>IF(71&lt;=$D$12,MAX(0,C89-F89),"")</f>
        <v>0</v>
      </c>
    </row>
    <row r="90" spans="1:7" x14ac:dyDescent="0.25">
      <c r="A90" s="10">
        <f>IF(72&lt;=$D$12,72,"")</f>
        <v>72</v>
      </c>
      <c r="B90" s="11">
        <f>IF(72&lt;=$D$12,IF($C$16="","",EDATE($C$16,72-1)),"")</f>
        <v>2161</v>
      </c>
      <c r="C90" s="12">
        <f>IF(72&lt;=$D$12,IF(72=1,$C$12,G89),"")</f>
        <v>0</v>
      </c>
      <c r="D90" s="12">
        <f>IF(72&lt;=$D$12,$F$12,"")</f>
        <v>0</v>
      </c>
      <c r="E90" s="12">
        <f>IF(72&lt;=$D$12,C90*($E$12/12),"")</f>
        <v>0</v>
      </c>
      <c r="F90" s="12">
        <f>IF(72&lt;=$D$12,D90-E90,"")</f>
        <v>0</v>
      </c>
      <c r="G90" s="12">
        <f>IF(72&lt;=$D$12,MAX(0,C90-F90),"")</f>
        <v>0</v>
      </c>
    </row>
    <row r="91" spans="1:7" x14ac:dyDescent="0.25">
      <c r="A91" s="10">
        <f>IF(73&lt;=$D$12,73,"")</f>
        <v>73</v>
      </c>
      <c r="B91" s="11">
        <f>IF(73&lt;=$D$12,IF($C$16="","",EDATE($C$16,73-1)),"")</f>
        <v>2192</v>
      </c>
      <c r="C91" s="12">
        <f>IF(73&lt;=$D$12,IF(73=1,$C$12,G90),"")</f>
        <v>0</v>
      </c>
      <c r="D91" s="12">
        <f>IF(73&lt;=$D$12,$F$12,"")</f>
        <v>0</v>
      </c>
      <c r="E91" s="12">
        <f>IF(73&lt;=$D$12,C91*($E$12/12),"")</f>
        <v>0</v>
      </c>
      <c r="F91" s="12">
        <f>IF(73&lt;=$D$12,D91-E91,"")</f>
        <v>0</v>
      </c>
      <c r="G91" s="12">
        <f>IF(73&lt;=$D$12,MAX(0,C91-F91),"")</f>
        <v>0</v>
      </c>
    </row>
    <row r="92" spans="1:7" x14ac:dyDescent="0.25">
      <c r="A92" s="10">
        <f>IF(74&lt;=$D$12,74,"")</f>
        <v>74</v>
      </c>
      <c r="B92" s="11">
        <f>IF(74&lt;=$D$12,IF($C$16="","",EDATE($C$16,74-1)),"")</f>
        <v>2223</v>
      </c>
      <c r="C92" s="12">
        <f>IF(74&lt;=$D$12,IF(74=1,$C$12,G91),"")</f>
        <v>0</v>
      </c>
      <c r="D92" s="12">
        <f>IF(74&lt;=$D$12,$F$12,"")</f>
        <v>0</v>
      </c>
      <c r="E92" s="12">
        <f>IF(74&lt;=$D$12,C92*($E$12/12),"")</f>
        <v>0</v>
      </c>
      <c r="F92" s="12">
        <f>IF(74&lt;=$D$12,D92-E92,"")</f>
        <v>0</v>
      </c>
      <c r="G92" s="12">
        <f>IF(74&lt;=$D$12,MAX(0,C92-F92),"")</f>
        <v>0</v>
      </c>
    </row>
    <row r="93" spans="1:7" x14ac:dyDescent="0.25">
      <c r="A93" s="10">
        <f>IF(75&lt;=$D$12,75,"")</f>
        <v>75</v>
      </c>
      <c r="B93" s="11">
        <f>IF(75&lt;=$D$12,IF($C$16="","",EDATE($C$16,75-1)),"")</f>
        <v>2251</v>
      </c>
      <c r="C93" s="12">
        <f>IF(75&lt;=$D$12,IF(75=1,$C$12,G92),"")</f>
        <v>0</v>
      </c>
      <c r="D93" s="12">
        <f>IF(75&lt;=$D$12,$F$12,"")</f>
        <v>0</v>
      </c>
      <c r="E93" s="12">
        <f>IF(75&lt;=$D$12,C93*($E$12/12),"")</f>
        <v>0</v>
      </c>
      <c r="F93" s="12">
        <f>IF(75&lt;=$D$12,D93-E93,"")</f>
        <v>0</v>
      </c>
      <c r="G93" s="12">
        <f>IF(75&lt;=$D$12,MAX(0,C93-F93),"")</f>
        <v>0</v>
      </c>
    </row>
    <row r="94" spans="1:7" x14ac:dyDescent="0.25">
      <c r="A94" s="10">
        <f>IF(76&lt;=$D$12,76,"")</f>
        <v>76</v>
      </c>
      <c r="B94" s="11">
        <f>IF(76&lt;=$D$12,IF($C$16="","",EDATE($C$16,76-1)),"")</f>
        <v>2282</v>
      </c>
      <c r="C94" s="12">
        <f>IF(76&lt;=$D$12,IF(76=1,$C$12,G93),"")</f>
        <v>0</v>
      </c>
      <c r="D94" s="12">
        <f>IF(76&lt;=$D$12,$F$12,"")</f>
        <v>0</v>
      </c>
      <c r="E94" s="12">
        <f>IF(76&lt;=$D$12,C94*($E$12/12),"")</f>
        <v>0</v>
      </c>
      <c r="F94" s="12">
        <f>IF(76&lt;=$D$12,D94-E94,"")</f>
        <v>0</v>
      </c>
      <c r="G94" s="12">
        <f>IF(76&lt;=$D$12,MAX(0,C94-F94),"")</f>
        <v>0</v>
      </c>
    </row>
    <row r="95" spans="1:7" x14ac:dyDescent="0.25">
      <c r="A95" s="10">
        <f>IF(77&lt;=$D$12,77,"")</f>
        <v>77</v>
      </c>
      <c r="B95" s="11">
        <f>IF(77&lt;=$D$12,IF($C$16="","",EDATE($C$16,77-1)),"")</f>
        <v>2312</v>
      </c>
      <c r="C95" s="12">
        <f>IF(77&lt;=$D$12,IF(77=1,$C$12,G94),"")</f>
        <v>0</v>
      </c>
      <c r="D95" s="12">
        <f>IF(77&lt;=$D$12,$F$12,"")</f>
        <v>0</v>
      </c>
      <c r="E95" s="12">
        <f>IF(77&lt;=$D$12,C95*($E$12/12),"")</f>
        <v>0</v>
      </c>
      <c r="F95" s="12">
        <f>IF(77&lt;=$D$12,D95-E95,"")</f>
        <v>0</v>
      </c>
      <c r="G95" s="12">
        <f>IF(77&lt;=$D$12,MAX(0,C95-F95),"")</f>
        <v>0</v>
      </c>
    </row>
    <row r="96" spans="1:7" x14ac:dyDescent="0.25">
      <c r="A96" s="10">
        <f>IF(78&lt;=$D$12,78,"")</f>
        <v>78</v>
      </c>
      <c r="B96" s="11">
        <f>IF(78&lt;=$D$12,IF($C$16="","",EDATE($C$16,78-1)),"")</f>
        <v>2343</v>
      </c>
      <c r="C96" s="12">
        <f>IF(78&lt;=$D$12,IF(78=1,$C$12,G95),"")</f>
        <v>0</v>
      </c>
      <c r="D96" s="12">
        <f>IF(78&lt;=$D$12,$F$12,"")</f>
        <v>0</v>
      </c>
      <c r="E96" s="12">
        <f>IF(78&lt;=$D$12,C96*($E$12/12),"")</f>
        <v>0</v>
      </c>
      <c r="F96" s="12">
        <f>IF(78&lt;=$D$12,D96-E96,"")</f>
        <v>0</v>
      </c>
      <c r="G96" s="12">
        <f>IF(78&lt;=$D$12,MAX(0,C96-F96),"")</f>
        <v>0</v>
      </c>
    </row>
    <row r="97" spans="1:7" x14ac:dyDescent="0.25">
      <c r="A97" s="10">
        <f>IF(79&lt;=$D$12,79,"")</f>
        <v>79</v>
      </c>
      <c r="B97" s="11">
        <f>IF(79&lt;=$D$12,IF($C$16="","",EDATE($C$16,79-1)),"")</f>
        <v>2373</v>
      </c>
      <c r="C97" s="12">
        <f>IF(79&lt;=$D$12,IF(79=1,$C$12,G96),"")</f>
        <v>0</v>
      </c>
      <c r="D97" s="12">
        <f>IF(79&lt;=$D$12,$F$12,"")</f>
        <v>0</v>
      </c>
      <c r="E97" s="12">
        <f>IF(79&lt;=$D$12,C97*($E$12/12),"")</f>
        <v>0</v>
      </c>
      <c r="F97" s="12">
        <f>IF(79&lt;=$D$12,D97-E97,"")</f>
        <v>0</v>
      </c>
      <c r="G97" s="12">
        <f>IF(79&lt;=$D$12,MAX(0,C97-F97),"")</f>
        <v>0</v>
      </c>
    </row>
    <row r="98" spans="1:7" x14ac:dyDescent="0.25">
      <c r="A98" s="10">
        <f>IF(80&lt;=$D$12,80,"")</f>
        <v>80</v>
      </c>
      <c r="B98" s="11">
        <f>IF(80&lt;=$D$12,IF($C$16="","",EDATE($C$16,80-1)),"")</f>
        <v>2404</v>
      </c>
      <c r="C98" s="12">
        <f>IF(80&lt;=$D$12,IF(80=1,$C$12,G97),"")</f>
        <v>0</v>
      </c>
      <c r="D98" s="12">
        <f>IF(80&lt;=$D$12,$F$12,"")</f>
        <v>0</v>
      </c>
      <c r="E98" s="12">
        <f>IF(80&lt;=$D$12,C98*($E$12/12),"")</f>
        <v>0</v>
      </c>
      <c r="F98" s="12">
        <f>IF(80&lt;=$D$12,D98-E98,"")</f>
        <v>0</v>
      </c>
      <c r="G98" s="12">
        <f>IF(80&lt;=$D$12,MAX(0,C98-F98),"")</f>
        <v>0</v>
      </c>
    </row>
    <row r="99" spans="1:7" x14ac:dyDescent="0.25">
      <c r="A99" s="10">
        <f>IF(81&lt;=$D$12,81,"")</f>
        <v>81</v>
      </c>
      <c r="B99" s="11">
        <f>IF(81&lt;=$D$12,IF($C$16="","",EDATE($C$16,81-1)),"")</f>
        <v>2435</v>
      </c>
      <c r="C99" s="12">
        <f>IF(81&lt;=$D$12,IF(81=1,$C$12,G98),"")</f>
        <v>0</v>
      </c>
      <c r="D99" s="12">
        <f>IF(81&lt;=$D$12,$F$12,"")</f>
        <v>0</v>
      </c>
      <c r="E99" s="12">
        <f>IF(81&lt;=$D$12,C99*($E$12/12),"")</f>
        <v>0</v>
      </c>
      <c r="F99" s="12">
        <f>IF(81&lt;=$D$12,D99-E99,"")</f>
        <v>0</v>
      </c>
      <c r="G99" s="12">
        <f>IF(81&lt;=$D$12,MAX(0,C99-F99),"")</f>
        <v>0</v>
      </c>
    </row>
    <row r="100" spans="1:7" x14ac:dyDescent="0.25">
      <c r="A100" s="10">
        <f>IF(82&lt;=$D$12,82,"")</f>
        <v>82</v>
      </c>
      <c r="B100" s="11">
        <f>IF(82&lt;=$D$12,IF($C$16="","",EDATE($C$16,82-1)),"")</f>
        <v>2465</v>
      </c>
      <c r="C100" s="12">
        <f>IF(82&lt;=$D$12,IF(82=1,$C$12,G99),"")</f>
        <v>0</v>
      </c>
      <c r="D100" s="12">
        <f>IF(82&lt;=$D$12,$F$12,"")</f>
        <v>0</v>
      </c>
      <c r="E100" s="12">
        <f>IF(82&lt;=$D$12,C100*($E$12/12),"")</f>
        <v>0</v>
      </c>
      <c r="F100" s="12">
        <f>IF(82&lt;=$D$12,D100-E100,"")</f>
        <v>0</v>
      </c>
      <c r="G100" s="12">
        <f>IF(82&lt;=$D$12,MAX(0,C100-F100),"")</f>
        <v>0</v>
      </c>
    </row>
    <row r="101" spans="1:7" x14ac:dyDescent="0.25">
      <c r="A101" s="10">
        <f>IF(83&lt;=$D$12,83,"")</f>
        <v>83</v>
      </c>
      <c r="B101" s="11">
        <f>IF(83&lt;=$D$12,IF($C$16="","",EDATE($C$16,83-1)),"")</f>
        <v>2496</v>
      </c>
      <c r="C101" s="12">
        <f>IF(83&lt;=$D$12,IF(83=1,$C$12,G100),"")</f>
        <v>0</v>
      </c>
      <c r="D101" s="12">
        <f>IF(83&lt;=$D$12,$F$12,"")</f>
        <v>0</v>
      </c>
      <c r="E101" s="12">
        <f>IF(83&lt;=$D$12,C101*($E$12/12),"")</f>
        <v>0</v>
      </c>
      <c r="F101" s="12">
        <f>IF(83&lt;=$D$12,D101-E101,"")</f>
        <v>0</v>
      </c>
      <c r="G101" s="12">
        <f>IF(83&lt;=$D$12,MAX(0,C101-F101),"")</f>
        <v>0</v>
      </c>
    </row>
    <row r="102" spans="1:7" x14ac:dyDescent="0.25">
      <c r="A102" s="10">
        <f>IF(84&lt;=$D$12,84,"")</f>
        <v>84</v>
      </c>
      <c r="B102" s="11">
        <f>IF(84&lt;=$D$12,IF($C$16="","",EDATE($C$16,84-1)),"")</f>
        <v>2526</v>
      </c>
      <c r="C102" s="12">
        <f>IF(84&lt;=$D$12,IF(84=1,$C$12,G101),"")</f>
        <v>0</v>
      </c>
      <c r="D102" s="12">
        <f>IF(84&lt;=$D$12,$F$12,"")</f>
        <v>0</v>
      </c>
      <c r="E102" s="12">
        <f>IF(84&lt;=$D$12,C102*($E$12/12),"")</f>
        <v>0</v>
      </c>
      <c r="F102" s="12">
        <f>IF(84&lt;=$D$12,D102-E102,"")</f>
        <v>0</v>
      </c>
      <c r="G102" s="12">
        <f>IF(84&lt;=$D$12,MAX(0,C102-F102),"")</f>
        <v>0</v>
      </c>
    </row>
    <row r="103" spans="1:7" x14ac:dyDescent="0.25">
      <c r="A103" s="10">
        <f>IF(85&lt;=$D$12,85,"")</f>
        <v>85</v>
      </c>
      <c r="B103" s="11">
        <f>IF(85&lt;=$D$12,IF($C$16="","",EDATE($C$16,85-1)),"")</f>
        <v>2557</v>
      </c>
      <c r="C103" s="12">
        <f>IF(85&lt;=$D$12,IF(85=1,$C$12,G102),"")</f>
        <v>0</v>
      </c>
      <c r="D103" s="12">
        <f>IF(85&lt;=$D$12,$F$12,"")</f>
        <v>0</v>
      </c>
      <c r="E103" s="12">
        <f>IF(85&lt;=$D$12,C103*($E$12/12),"")</f>
        <v>0</v>
      </c>
      <c r="F103" s="12">
        <f>IF(85&lt;=$D$12,D103-E103,"")</f>
        <v>0</v>
      </c>
      <c r="G103" s="12">
        <f>IF(85&lt;=$D$12,MAX(0,C103-F103),"")</f>
        <v>0</v>
      </c>
    </row>
    <row r="104" spans="1:7" x14ac:dyDescent="0.25">
      <c r="A104" s="10">
        <f>IF(86&lt;=$D$12,86,"")</f>
        <v>86</v>
      </c>
      <c r="B104" s="11">
        <f>IF(86&lt;=$D$12,IF($C$16="","",EDATE($C$16,86-1)),"")</f>
        <v>2588</v>
      </c>
      <c r="C104" s="12">
        <f>IF(86&lt;=$D$12,IF(86=1,$C$12,G103),"")</f>
        <v>0</v>
      </c>
      <c r="D104" s="12">
        <f>IF(86&lt;=$D$12,$F$12,"")</f>
        <v>0</v>
      </c>
      <c r="E104" s="12">
        <f>IF(86&lt;=$D$12,C104*($E$12/12),"")</f>
        <v>0</v>
      </c>
      <c r="F104" s="12">
        <f>IF(86&lt;=$D$12,D104-E104,"")</f>
        <v>0</v>
      </c>
      <c r="G104" s="12">
        <f>IF(86&lt;=$D$12,MAX(0,C104-F104),"")</f>
        <v>0</v>
      </c>
    </row>
    <row r="105" spans="1:7" x14ac:dyDescent="0.25">
      <c r="A105" s="10">
        <f>IF(87&lt;=$D$12,87,"")</f>
        <v>87</v>
      </c>
      <c r="B105" s="11">
        <f>IF(87&lt;=$D$12,IF($C$16="","",EDATE($C$16,87-1)),"")</f>
        <v>2616</v>
      </c>
      <c r="C105" s="12">
        <f>IF(87&lt;=$D$12,IF(87=1,$C$12,G104),"")</f>
        <v>0</v>
      </c>
      <c r="D105" s="12">
        <f>IF(87&lt;=$D$12,$F$12,"")</f>
        <v>0</v>
      </c>
      <c r="E105" s="12">
        <f>IF(87&lt;=$D$12,C105*($E$12/12),"")</f>
        <v>0</v>
      </c>
      <c r="F105" s="12">
        <f>IF(87&lt;=$D$12,D105-E105,"")</f>
        <v>0</v>
      </c>
      <c r="G105" s="12">
        <f>IF(87&lt;=$D$12,MAX(0,C105-F105),"")</f>
        <v>0</v>
      </c>
    </row>
    <row r="106" spans="1:7" x14ac:dyDescent="0.25">
      <c r="A106" s="10">
        <f>IF(88&lt;=$D$12,88,"")</f>
        <v>88</v>
      </c>
      <c r="B106" s="11">
        <f>IF(88&lt;=$D$12,IF($C$16="","",EDATE($C$16,88-1)),"")</f>
        <v>2647</v>
      </c>
      <c r="C106" s="12">
        <f>IF(88&lt;=$D$12,IF(88=1,$C$12,G105),"")</f>
        <v>0</v>
      </c>
      <c r="D106" s="12">
        <f>IF(88&lt;=$D$12,$F$12,"")</f>
        <v>0</v>
      </c>
      <c r="E106" s="12">
        <f>IF(88&lt;=$D$12,C106*($E$12/12),"")</f>
        <v>0</v>
      </c>
      <c r="F106" s="12">
        <f>IF(88&lt;=$D$12,D106-E106,"")</f>
        <v>0</v>
      </c>
      <c r="G106" s="12">
        <f>IF(88&lt;=$D$12,MAX(0,C106-F106),"")</f>
        <v>0</v>
      </c>
    </row>
    <row r="107" spans="1:7" x14ac:dyDescent="0.25">
      <c r="A107" s="10">
        <f>IF(89&lt;=$D$12,89,"")</f>
        <v>89</v>
      </c>
      <c r="B107" s="11">
        <f>IF(89&lt;=$D$12,IF($C$16="","",EDATE($C$16,89-1)),"")</f>
        <v>2677</v>
      </c>
      <c r="C107" s="12">
        <f>IF(89&lt;=$D$12,IF(89=1,$C$12,G106),"")</f>
        <v>0</v>
      </c>
      <c r="D107" s="12">
        <f>IF(89&lt;=$D$12,$F$12,"")</f>
        <v>0</v>
      </c>
      <c r="E107" s="12">
        <f>IF(89&lt;=$D$12,C107*($E$12/12),"")</f>
        <v>0</v>
      </c>
      <c r="F107" s="12">
        <f>IF(89&lt;=$D$12,D107-E107,"")</f>
        <v>0</v>
      </c>
      <c r="G107" s="12">
        <f>IF(89&lt;=$D$12,MAX(0,C107-F107),"")</f>
        <v>0</v>
      </c>
    </row>
    <row r="108" spans="1:7" x14ac:dyDescent="0.25">
      <c r="A108" s="10">
        <f>IF(90&lt;=$D$12,90,"")</f>
        <v>90</v>
      </c>
      <c r="B108" s="11">
        <f>IF(90&lt;=$D$12,IF($C$16="","",EDATE($C$16,90-1)),"")</f>
        <v>2708</v>
      </c>
      <c r="C108" s="12">
        <f>IF(90&lt;=$D$12,IF(90=1,$C$12,G107),"")</f>
        <v>0</v>
      </c>
      <c r="D108" s="12">
        <f>IF(90&lt;=$D$12,$F$12,"")</f>
        <v>0</v>
      </c>
      <c r="E108" s="12">
        <f>IF(90&lt;=$D$12,C108*($E$12/12),"")</f>
        <v>0</v>
      </c>
      <c r="F108" s="12">
        <f>IF(90&lt;=$D$12,D108-E108,"")</f>
        <v>0</v>
      </c>
      <c r="G108" s="12">
        <f>IF(90&lt;=$D$12,MAX(0,C108-F108),"")</f>
        <v>0</v>
      </c>
    </row>
    <row r="109" spans="1:7" x14ac:dyDescent="0.25">
      <c r="A109" s="10">
        <f>IF(91&lt;=$D$12,91,"")</f>
        <v>91</v>
      </c>
      <c r="B109" s="11">
        <f>IF(91&lt;=$D$12,IF($C$16="","",EDATE($C$16,91-1)),"")</f>
        <v>2738</v>
      </c>
      <c r="C109" s="12">
        <f>IF(91&lt;=$D$12,IF(91=1,$C$12,G108),"")</f>
        <v>0</v>
      </c>
      <c r="D109" s="12">
        <f>IF(91&lt;=$D$12,$F$12,"")</f>
        <v>0</v>
      </c>
      <c r="E109" s="12">
        <f>IF(91&lt;=$D$12,C109*($E$12/12),"")</f>
        <v>0</v>
      </c>
      <c r="F109" s="12">
        <f>IF(91&lt;=$D$12,D109-E109,"")</f>
        <v>0</v>
      </c>
      <c r="G109" s="12">
        <f>IF(91&lt;=$D$12,MAX(0,C109-F109),"")</f>
        <v>0</v>
      </c>
    </row>
    <row r="110" spans="1:7" x14ac:dyDescent="0.25">
      <c r="A110" s="10">
        <f>IF(92&lt;=$D$12,92,"")</f>
        <v>92</v>
      </c>
      <c r="B110" s="11">
        <f>IF(92&lt;=$D$12,IF($C$16="","",EDATE($C$16,92-1)),"")</f>
        <v>2769</v>
      </c>
      <c r="C110" s="12">
        <f>IF(92&lt;=$D$12,IF(92=1,$C$12,G109),"")</f>
        <v>0</v>
      </c>
      <c r="D110" s="12">
        <f>IF(92&lt;=$D$12,$F$12,"")</f>
        <v>0</v>
      </c>
      <c r="E110" s="12">
        <f>IF(92&lt;=$D$12,C110*($E$12/12),"")</f>
        <v>0</v>
      </c>
      <c r="F110" s="12">
        <f>IF(92&lt;=$D$12,D110-E110,"")</f>
        <v>0</v>
      </c>
      <c r="G110" s="12">
        <f>IF(92&lt;=$D$12,MAX(0,C110-F110),"")</f>
        <v>0</v>
      </c>
    </row>
    <row r="111" spans="1:7" x14ac:dyDescent="0.25">
      <c r="A111" s="10">
        <f>IF(93&lt;=$D$12,93,"")</f>
        <v>93</v>
      </c>
      <c r="B111" s="11">
        <f>IF(93&lt;=$D$12,IF($C$16="","",EDATE($C$16,93-1)),"")</f>
        <v>2800</v>
      </c>
      <c r="C111" s="12">
        <f>IF(93&lt;=$D$12,IF(93=1,$C$12,G110),"")</f>
        <v>0</v>
      </c>
      <c r="D111" s="12">
        <f>IF(93&lt;=$D$12,$F$12,"")</f>
        <v>0</v>
      </c>
      <c r="E111" s="12">
        <f>IF(93&lt;=$D$12,C111*($E$12/12),"")</f>
        <v>0</v>
      </c>
      <c r="F111" s="12">
        <f>IF(93&lt;=$D$12,D111-E111,"")</f>
        <v>0</v>
      </c>
      <c r="G111" s="12">
        <f>IF(93&lt;=$D$12,MAX(0,C111-F111),"")</f>
        <v>0</v>
      </c>
    </row>
    <row r="112" spans="1:7" x14ac:dyDescent="0.25">
      <c r="A112" s="10">
        <f>IF(94&lt;=$D$12,94,"")</f>
        <v>94</v>
      </c>
      <c r="B112" s="11">
        <f>IF(94&lt;=$D$12,IF($C$16="","",EDATE($C$16,94-1)),"")</f>
        <v>2830</v>
      </c>
      <c r="C112" s="12">
        <f>IF(94&lt;=$D$12,IF(94=1,$C$12,G111),"")</f>
        <v>0</v>
      </c>
      <c r="D112" s="12">
        <f>IF(94&lt;=$D$12,$F$12,"")</f>
        <v>0</v>
      </c>
      <c r="E112" s="12">
        <f>IF(94&lt;=$D$12,C112*($E$12/12),"")</f>
        <v>0</v>
      </c>
      <c r="F112" s="12">
        <f>IF(94&lt;=$D$12,D112-E112,"")</f>
        <v>0</v>
      </c>
      <c r="G112" s="12">
        <f>IF(94&lt;=$D$12,MAX(0,C112-F112),"")</f>
        <v>0</v>
      </c>
    </row>
    <row r="113" spans="1:7" x14ac:dyDescent="0.25">
      <c r="A113" s="10">
        <f>IF(95&lt;=$D$12,95,"")</f>
        <v>95</v>
      </c>
      <c r="B113" s="11">
        <f>IF(95&lt;=$D$12,IF($C$16="","",EDATE($C$16,95-1)),"")</f>
        <v>2861</v>
      </c>
      <c r="C113" s="12">
        <f>IF(95&lt;=$D$12,IF(95=1,$C$12,G112),"")</f>
        <v>0</v>
      </c>
      <c r="D113" s="12">
        <f>IF(95&lt;=$D$12,$F$12,"")</f>
        <v>0</v>
      </c>
      <c r="E113" s="12">
        <f>IF(95&lt;=$D$12,C113*($E$12/12),"")</f>
        <v>0</v>
      </c>
      <c r="F113" s="12">
        <f>IF(95&lt;=$D$12,D113-E113,"")</f>
        <v>0</v>
      </c>
      <c r="G113" s="12">
        <f>IF(95&lt;=$D$12,MAX(0,C113-F113),"")</f>
        <v>0</v>
      </c>
    </row>
    <row r="114" spans="1:7" x14ac:dyDescent="0.25">
      <c r="A114" s="10">
        <f>IF(96&lt;=$D$12,96,"")</f>
        <v>96</v>
      </c>
      <c r="B114" s="11">
        <f>IF(96&lt;=$D$12,IF($C$16="","",EDATE($C$16,96-1)),"")</f>
        <v>2891</v>
      </c>
      <c r="C114" s="12">
        <f>IF(96&lt;=$D$12,IF(96=1,$C$12,G113),"")</f>
        <v>0</v>
      </c>
      <c r="D114" s="12">
        <f>IF(96&lt;=$D$12,$F$12,"")</f>
        <v>0</v>
      </c>
      <c r="E114" s="12">
        <f>IF(96&lt;=$D$12,C114*($E$12/12),"")</f>
        <v>0</v>
      </c>
      <c r="F114" s="12">
        <f>IF(96&lt;=$D$12,D114-E114,"")</f>
        <v>0</v>
      </c>
      <c r="G114" s="12">
        <f>IF(96&lt;=$D$12,MAX(0,C114-F114),"")</f>
        <v>0</v>
      </c>
    </row>
    <row r="115" spans="1:7" x14ac:dyDescent="0.25">
      <c r="A115" s="10">
        <f>IF(97&lt;=$D$12,97,"")</f>
        <v>97</v>
      </c>
      <c r="B115" s="11">
        <f>IF(97&lt;=$D$12,IF($C$16="","",EDATE($C$16,97-1)),"")</f>
        <v>2922</v>
      </c>
      <c r="C115" s="12">
        <f>IF(97&lt;=$D$12,IF(97=1,$C$12,G114),"")</f>
        <v>0</v>
      </c>
      <c r="D115" s="12">
        <f>IF(97&lt;=$D$12,$F$12,"")</f>
        <v>0</v>
      </c>
      <c r="E115" s="12">
        <f>IF(97&lt;=$D$12,C115*($E$12/12),"")</f>
        <v>0</v>
      </c>
      <c r="F115" s="12">
        <f>IF(97&lt;=$D$12,D115-E115,"")</f>
        <v>0</v>
      </c>
      <c r="G115" s="12">
        <f>IF(97&lt;=$D$12,MAX(0,C115-F115),"")</f>
        <v>0</v>
      </c>
    </row>
    <row r="116" spans="1:7" x14ac:dyDescent="0.25">
      <c r="A116" s="10">
        <f>IF(98&lt;=$D$12,98,"")</f>
        <v>98</v>
      </c>
      <c r="B116" s="11">
        <f>IF(98&lt;=$D$12,IF($C$16="","",EDATE($C$16,98-1)),"")</f>
        <v>2953</v>
      </c>
      <c r="C116" s="12">
        <f>IF(98&lt;=$D$12,IF(98=1,$C$12,G115),"")</f>
        <v>0</v>
      </c>
      <c r="D116" s="12">
        <f>IF(98&lt;=$D$12,$F$12,"")</f>
        <v>0</v>
      </c>
      <c r="E116" s="12">
        <f>IF(98&lt;=$D$12,C116*($E$12/12),"")</f>
        <v>0</v>
      </c>
      <c r="F116" s="12">
        <f>IF(98&lt;=$D$12,D116-E116,"")</f>
        <v>0</v>
      </c>
      <c r="G116" s="12">
        <f>IF(98&lt;=$D$12,MAX(0,C116-F116),"")</f>
        <v>0</v>
      </c>
    </row>
    <row r="117" spans="1:7" x14ac:dyDescent="0.25">
      <c r="A117" s="10">
        <f>IF(99&lt;=$D$12,99,"")</f>
        <v>99</v>
      </c>
      <c r="B117" s="11">
        <f>IF(99&lt;=$D$12,IF($C$16="","",EDATE($C$16,99-1)),"")</f>
        <v>2982</v>
      </c>
      <c r="C117" s="12">
        <f>IF(99&lt;=$D$12,IF(99=1,$C$12,G116),"")</f>
        <v>0</v>
      </c>
      <c r="D117" s="12">
        <f>IF(99&lt;=$D$12,$F$12,"")</f>
        <v>0</v>
      </c>
      <c r="E117" s="12">
        <f>IF(99&lt;=$D$12,C117*($E$12/12),"")</f>
        <v>0</v>
      </c>
      <c r="F117" s="12">
        <f>IF(99&lt;=$D$12,D117-E117,"")</f>
        <v>0</v>
      </c>
      <c r="G117" s="12">
        <f>IF(99&lt;=$D$12,MAX(0,C117-F117),"")</f>
        <v>0</v>
      </c>
    </row>
    <row r="118" spans="1:7" x14ac:dyDescent="0.25">
      <c r="A118" s="10">
        <f>IF(100&lt;=$D$12,100,"")</f>
        <v>100</v>
      </c>
      <c r="B118" s="11">
        <f>IF(100&lt;=$D$12,IF($C$16="","",EDATE($C$16,100-1)),"")</f>
        <v>3013</v>
      </c>
      <c r="C118" s="12">
        <f>IF(100&lt;=$D$12,IF(100=1,$C$12,G117),"")</f>
        <v>0</v>
      </c>
      <c r="D118" s="12">
        <f>IF(100&lt;=$D$12,$F$12,"")</f>
        <v>0</v>
      </c>
      <c r="E118" s="12">
        <f>IF(100&lt;=$D$12,C118*($E$12/12),"")</f>
        <v>0</v>
      </c>
      <c r="F118" s="12">
        <f>IF(100&lt;=$D$12,D118-E118,"")</f>
        <v>0</v>
      </c>
      <c r="G118" s="12">
        <f>IF(100&lt;=$D$12,MAX(0,C118-F118),"")</f>
        <v>0</v>
      </c>
    </row>
    <row r="119" spans="1:7" x14ac:dyDescent="0.25">
      <c r="A119" s="10">
        <f>IF(101&lt;=$D$12,101,"")</f>
        <v>101</v>
      </c>
      <c r="B119" s="11">
        <f>IF(101&lt;=$D$12,IF($C$16="","",EDATE($C$16,101-1)),"")</f>
        <v>3043</v>
      </c>
      <c r="C119" s="12">
        <f>IF(101&lt;=$D$12,IF(101=1,$C$12,G118),"")</f>
        <v>0</v>
      </c>
      <c r="D119" s="12">
        <f>IF(101&lt;=$D$12,$F$12,"")</f>
        <v>0</v>
      </c>
      <c r="E119" s="12">
        <f>IF(101&lt;=$D$12,C119*($E$12/12),"")</f>
        <v>0</v>
      </c>
      <c r="F119" s="12">
        <f>IF(101&lt;=$D$12,D119-E119,"")</f>
        <v>0</v>
      </c>
      <c r="G119" s="12">
        <f>IF(101&lt;=$D$12,MAX(0,C119-F119),"")</f>
        <v>0</v>
      </c>
    </row>
    <row r="120" spans="1:7" x14ac:dyDescent="0.25">
      <c r="A120" s="10">
        <f>IF(102&lt;=$D$12,102,"")</f>
        <v>102</v>
      </c>
      <c r="B120" s="11">
        <f>IF(102&lt;=$D$12,IF($C$16="","",EDATE($C$16,102-1)),"")</f>
        <v>3074</v>
      </c>
      <c r="C120" s="12">
        <f>IF(102&lt;=$D$12,IF(102=1,$C$12,G119),"")</f>
        <v>0</v>
      </c>
      <c r="D120" s="12">
        <f>IF(102&lt;=$D$12,$F$12,"")</f>
        <v>0</v>
      </c>
      <c r="E120" s="12">
        <f>IF(102&lt;=$D$12,C120*($E$12/12),"")</f>
        <v>0</v>
      </c>
      <c r="F120" s="12">
        <f>IF(102&lt;=$D$12,D120-E120,"")</f>
        <v>0</v>
      </c>
      <c r="G120" s="12">
        <f>IF(102&lt;=$D$12,MAX(0,C120-F120),"")</f>
        <v>0</v>
      </c>
    </row>
    <row r="121" spans="1:7" x14ac:dyDescent="0.25">
      <c r="A121" s="10">
        <f>IF(103&lt;=$D$12,103,"")</f>
        <v>103</v>
      </c>
      <c r="B121" s="11">
        <f>IF(103&lt;=$D$12,IF($C$16="","",EDATE($C$16,103-1)),"")</f>
        <v>3104</v>
      </c>
      <c r="C121" s="12">
        <f>IF(103&lt;=$D$12,IF(103=1,$C$12,G120),"")</f>
        <v>0</v>
      </c>
      <c r="D121" s="12">
        <f>IF(103&lt;=$D$12,$F$12,"")</f>
        <v>0</v>
      </c>
      <c r="E121" s="12">
        <f>IF(103&lt;=$D$12,C121*($E$12/12),"")</f>
        <v>0</v>
      </c>
      <c r="F121" s="12">
        <f>IF(103&lt;=$D$12,D121-E121,"")</f>
        <v>0</v>
      </c>
      <c r="G121" s="12">
        <f>IF(103&lt;=$D$12,MAX(0,C121-F121),"")</f>
        <v>0</v>
      </c>
    </row>
    <row r="122" spans="1:7" x14ac:dyDescent="0.25">
      <c r="A122" s="10">
        <f>IF(104&lt;=$D$12,104,"")</f>
        <v>104</v>
      </c>
      <c r="B122" s="11">
        <f>IF(104&lt;=$D$12,IF($C$16="","",EDATE($C$16,104-1)),"")</f>
        <v>3135</v>
      </c>
      <c r="C122" s="12">
        <f>IF(104&lt;=$D$12,IF(104=1,$C$12,G121),"")</f>
        <v>0</v>
      </c>
      <c r="D122" s="12">
        <f>IF(104&lt;=$D$12,$F$12,"")</f>
        <v>0</v>
      </c>
      <c r="E122" s="12">
        <f>IF(104&lt;=$D$12,C122*($E$12/12),"")</f>
        <v>0</v>
      </c>
      <c r="F122" s="12">
        <f>IF(104&lt;=$D$12,D122-E122,"")</f>
        <v>0</v>
      </c>
      <c r="G122" s="12">
        <f>IF(104&lt;=$D$12,MAX(0,C122-F122),"")</f>
        <v>0</v>
      </c>
    </row>
    <row r="123" spans="1:7" x14ac:dyDescent="0.25">
      <c r="A123" s="10">
        <f>IF(105&lt;=$D$12,105,"")</f>
        <v>105</v>
      </c>
      <c r="B123" s="11">
        <f>IF(105&lt;=$D$12,IF($C$16="","",EDATE($C$16,105-1)),"")</f>
        <v>3166</v>
      </c>
      <c r="C123" s="12">
        <f>IF(105&lt;=$D$12,IF(105=1,$C$12,G122),"")</f>
        <v>0</v>
      </c>
      <c r="D123" s="12">
        <f>IF(105&lt;=$D$12,$F$12,"")</f>
        <v>0</v>
      </c>
      <c r="E123" s="12">
        <f>IF(105&lt;=$D$12,C123*($E$12/12),"")</f>
        <v>0</v>
      </c>
      <c r="F123" s="12">
        <f>IF(105&lt;=$D$12,D123-E123,"")</f>
        <v>0</v>
      </c>
      <c r="G123" s="12">
        <f>IF(105&lt;=$D$12,MAX(0,C123-F123),"")</f>
        <v>0</v>
      </c>
    </row>
    <row r="124" spans="1:7" x14ac:dyDescent="0.25">
      <c r="A124" s="10">
        <f>IF(106&lt;=$D$12,106,"")</f>
        <v>106</v>
      </c>
      <c r="B124" s="11">
        <f>IF(106&lt;=$D$12,IF($C$16="","",EDATE($C$16,106-1)),"")</f>
        <v>3196</v>
      </c>
      <c r="C124" s="12">
        <f>IF(106&lt;=$D$12,IF(106=1,$C$12,G123),"")</f>
        <v>0</v>
      </c>
      <c r="D124" s="12">
        <f>IF(106&lt;=$D$12,$F$12,"")</f>
        <v>0</v>
      </c>
      <c r="E124" s="12">
        <f>IF(106&lt;=$D$12,C124*($E$12/12),"")</f>
        <v>0</v>
      </c>
      <c r="F124" s="12">
        <f>IF(106&lt;=$D$12,D124-E124,"")</f>
        <v>0</v>
      </c>
      <c r="G124" s="12">
        <f>IF(106&lt;=$D$12,MAX(0,C124-F124),"")</f>
        <v>0</v>
      </c>
    </row>
    <row r="125" spans="1:7" x14ac:dyDescent="0.25">
      <c r="A125" s="10">
        <f>IF(107&lt;=$D$12,107,"")</f>
        <v>107</v>
      </c>
      <c r="B125" s="11">
        <f>IF(107&lt;=$D$12,IF($C$16="","",EDATE($C$16,107-1)),"")</f>
        <v>3227</v>
      </c>
      <c r="C125" s="12">
        <f>IF(107&lt;=$D$12,IF(107=1,$C$12,G124),"")</f>
        <v>0</v>
      </c>
      <c r="D125" s="12">
        <f>IF(107&lt;=$D$12,$F$12,"")</f>
        <v>0</v>
      </c>
      <c r="E125" s="12">
        <f>IF(107&lt;=$D$12,C125*($E$12/12),"")</f>
        <v>0</v>
      </c>
      <c r="F125" s="12">
        <f>IF(107&lt;=$D$12,D125-E125,"")</f>
        <v>0</v>
      </c>
      <c r="G125" s="12">
        <f>IF(107&lt;=$D$12,MAX(0,C125-F125),"")</f>
        <v>0</v>
      </c>
    </row>
    <row r="126" spans="1:7" x14ac:dyDescent="0.25">
      <c r="A126" s="10">
        <f>IF(108&lt;=$D$12,108,"")</f>
        <v>108</v>
      </c>
      <c r="B126" s="11">
        <f>IF(108&lt;=$D$12,IF($C$16="","",EDATE($C$16,108-1)),"")</f>
        <v>3257</v>
      </c>
      <c r="C126" s="12">
        <f>IF(108&lt;=$D$12,IF(108=1,$C$12,G125),"")</f>
        <v>0</v>
      </c>
      <c r="D126" s="12">
        <f>IF(108&lt;=$D$12,$F$12,"")</f>
        <v>0</v>
      </c>
      <c r="E126" s="12">
        <f>IF(108&lt;=$D$12,C126*($E$12/12),"")</f>
        <v>0</v>
      </c>
      <c r="F126" s="12">
        <f>IF(108&lt;=$D$12,D126-E126,"")</f>
        <v>0</v>
      </c>
      <c r="G126" s="12">
        <f>IF(108&lt;=$D$12,MAX(0,C126-F126),"")</f>
        <v>0</v>
      </c>
    </row>
    <row r="127" spans="1:7" x14ac:dyDescent="0.25">
      <c r="A127" s="10">
        <f>IF(109&lt;=$D$12,109,"")</f>
        <v>109</v>
      </c>
      <c r="B127" s="11">
        <f>IF(109&lt;=$D$12,IF($C$16="","",EDATE($C$16,109-1)),"")</f>
        <v>3288</v>
      </c>
      <c r="C127" s="12">
        <f>IF(109&lt;=$D$12,IF(109=1,$C$12,G126),"")</f>
        <v>0</v>
      </c>
      <c r="D127" s="12">
        <f>IF(109&lt;=$D$12,$F$12,"")</f>
        <v>0</v>
      </c>
      <c r="E127" s="12">
        <f>IF(109&lt;=$D$12,C127*($E$12/12),"")</f>
        <v>0</v>
      </c>
      <c r="F127" s="12">
        <f>IF(109&lt;=$D$12,D127-E127,"")</f>
        <v>0</v>
      </c>
      <c r="G127" s="12">
        <f>IF(109&lt;=$D$12,MAX(0,C127-F127),"")</f>
        <v>0</v>
      </c>
    </row>
    <row r="128" spans="1:7" x14ac:dyDescent="0.25">
      <c r="A128" s="10">
        <f>IF(110&lt;=$D$12,110,"")</f>
        <v>110</v>
      </c>
      <c r="B128" s="11">
        <f>IF(110&lt;=$D$12,IF($C$16="","",EDATE($C$16,110-1)),"")</f>
        <v>3319</v>
      </c>
      <c r="C128" s="12">
        <f>IF(110&lt;=$D$12,IF(110=1,$C$12,G127),"")</f>
        <v>0</v>
      </c>
      <c r="D128" s="12">
        <f>IF(110&lt;=$D$12,$F$12,"")</f>
        <v>0</v>
      </c>
      <c r="E128" s="12">
        <f>IF(110&lt;=$D$12,C128*($E$12/12),"")</f>
        <v>0</v>
      </c>
      <c r="F128" s="12">
        <f>IF(110&lt;=$D$12,D128-E128,"")</f>
        <v>0</v>
      </c>
      <c r="G128" s="12">
        <f>IF(110&lt;=$D$12,MAX(0,C128-F128),"")</f>
        <v>0</v>
      </c>
    </row>
    <row r="129" spans="1:7" x14ac:dyDescent="0.25">
      <c r="A129" s="10">
        <f>IF(111&lt;=$D$12,111,"")</f>
        <v>111</v>
      </c>
      <c r="B129" s="11">
        <f>IF(111&lt;=$D$12,IF($C$16="","",EDATE($C$16,111-1)),"")</f>
        <v>3347</v>
      </c>
      <c r="C129" s="12">
        <f>IF(111&lt;=$D$12,IF(111=1,$C$12,G128),"")</f>
        <v>0</v>
      </c>
      <c r="D129" s="12">
        <f>IF(111&lt;=$D$12,$F$12,"")</f>
        <v>0</v>
      </c>
      <c r="E129" s="12">
        <f>IF(111&lt;=$D$12,C129*($E$12/12),"")</f>
        <v>0</v>
      </c>
      <c r="F129" s="12">
        <f>IF(111&lt;=$D$12,D129-E129,"")</f>
        <v>0</v>
      </c>
      <c r="G129" s="12">
        <f>IF(111&lt;=$D$12,MAX(0,C129-F129),"")</f>
        <v>0</v>
      </c>
    </row>
    <row r="130" spans="1:7" x14ac:dyDescent="0.25">
      <c r="A130" s="10">
        <f>IF(112&lt;=$D$12,112,"")</f>
        <v>112</v>
      </c>
      <c r="B130" s="11">
        <f>IF(112&lt;=$D$12,IF($C$16="","",EDATE($C$16,112-1)),"")</f>
        <v>3378</v>
      </c>
      <c r="C130" s="12">
        <f>IF(112&lt;=$D$12,IF(112=1,$C$12,G129),"")</f>
        <v>0</v>
      </c>
      <c r="D130" s="12">
        <f>IF(112&lt;=$D$12,$F$12,"")</f>
        <v>0</v>
      </c>
      <c r="E130" s="12">
        <f>IF(112&lt;=$D$12,C130*($E$12/12),"")</f>
        <v>0</v>
      </c>
      <c r="F130" s="12">
        <f>IF(112&lt;=$D$12,D130-E130,"")</f>
        <v>0</v>
      </c>
      <c r="G130" s="12">
        <f>IF(112&lt;=$D$12,MAX(0,C130-F130),"")</f>
        <v>0</v>
      </c>
    </row>
    <row r="131" spans="1:7" x14ac:dyDescent="0.25">
      <c r="A131" s="10">
        <f>IF(113&lt;=$D$12,113,"")</f>
        <v>113</v>
      </c>
      <c r="B131" s="11">
        <f>IF(113&lt;=$D$12,IF($C$16="","",EDATE($C$16,113-1)),"")</f>
        <v>3408</v>
      </c>
      <c r="C131" s="12">
        <f>IF(113&lt;=$D$12,IF(113=1,$C$12,G130),"")</f>
        <v>0</v>
      </c>
      <c r="D131" s="12">
        <f>IF(113&lt;=$D$12,$F$12,"")</f>
        <v>0</v>
      </c>
      <c r="E131" s="12">
        <f>IF(113&lt;=$D$12,C131*($E$12/12),"")</f>
        <v>0</v>
      </c>
      <c r="F131" s="12">
        <f>IF(113&lt;=$D$12,D131-E131,"")</f>
        <v>0</v>
      </c>
      <c r="G131" s="12">
        <f>IF(113&lt;=$D$12,MAX(0,C131-F131),"")</f>
        <v>0</v>
      </c>
    </row>
    <row r="132" spans="1:7" x14ac:dyDescent="0.25">
      <c r="A132" s="10">
        <f>IF(114&lt;=$D$12,114,"")</f>
        <v>114</v>
      </c>
      <c r="B132" s="11">
        <f>IF(114&lt;=$D$12,IF($C$16="","",EDATE($C$16,114-1)),"")</f>
        <v>3439</v>
      </c>
      <c r="C132" s="12">
        <f>IF(114&lt;=$D$12,IF(114=1,$C$12,G131),"")</f>
        <v>0</v>
      </c>
      <c r="D132" s="12">
        <f>IF(114&lt;=$D$12,$F$12,"")</f>
        <v>0</v>
      </c>
      <c r="E132" s="12">
        <f>IF(114&lt;=$D$12,C132*($E$12/12),"")</f>
        <v>0</v>
      </c>
      <c r="F132" s="12">
        <f>IF(114&lt;=$D$12,D132-E132,"")</f>
        <v>0</v>
      </c>
      <c r="G132" s="12">
        <f>IF(114&lt;=$D$12,MAX(0,C132-F132),"")</f>
        <v>0</v>
      </c>
    </row>
    <row r="133" spans="1:7" x14ac:dyDescent="0.25">
      <c r="A133" s="10">
        <f>IF(115&lt;=$D$12,115,"")</f>
        <v>115</v>
      </c>
      <c r="B133" s="11">
        <f>IF(115&lt;=$D$12,IF($C$16="","",EDATE($C$16,115-1)),"")</f>
        <v>3469</v>
      </c>
      <c r="C133" s="12">
        <f>IF(115&lt;=$D$12,IF(115=1,$C$12,G132),"")</f>
        <v>0</v>
      </c>
      <c r="D133" s="12">
        <f>IF(115&lt;=$D$12,$F$12,"")</f>
        <v>0</v>
      </c>
      <c r="E133" s="12">
        <f>IF(115&lt;=$D$12,C133*($E$12/12),"")</f>
        <v>0</v>
      </c>
      <c r="F133" s="12">
        <f>IF(115&lt;=$D$12,D133-E133,"")</f>
        <v>0</v>
      </c>
      <c r="G133" s="12">
        <f>IF(115&lt;=$D$12,MAX(0,C133-F133),"")</f>
        <v>0</v>
      </c>
    </row>
    <row r="134" spans="1:7" x14ac:dyDescent="0.25">
      <c r="A134" s="10">
        <f>IF(116&lt;=$D$12,116,"")</f>
        <v>116</v>
      </c>
      <c r="B134" s="11">
        <f>IF(116&lt;=$D$12,IF($C$16="","",EDATE($C$16,116-1)),"")</f>
        <v>3500</v>
      </c>
      <c r="C134" s="12">
        <f>IF(116&lt;=$D$12,IF(116=1,$C$12,G133),"")</f>
        <v>0</v>
      </c>
      <c r="D134" s="12">
        <f>IF(116&lt;=$D$12,$F$12,"")</f>
        <v>0</v>
      </c>
      <c r="E134" s="12">
        <f>IF(116&lt;=$D$12,C134*($E$12/12),"")</f>
        <v>0</v>
      </c>
      <c r="F134" s="12">
        <f>IF(116&lt;=$D$12,D134-E134,"")</f>
        <v>0</v>
      </c>
      <c r="G134" s="12">
        <f>IF(116&lt;=$D$12,MAX(0,C134-F134),"")</f>
        <v>0</v>
      </c>
    </row>
    <row r="135" spans="1:7" x14ac:dyDescent="0.25">
      <c r="A135" s="10">
        <f>IF(117&lt;=$D$12,117,"")</f>
        <v>117</v>
      </c>
      <c r="B135" s="11">
        <f>IF(117&lt;=$D$12,IF($C$16="","",EDATE($C$16,117-1)),"")</f>
        <v>3531</v>
      </c>
      <c r="C135" s="12">
        <f>IF(117&lt;=$D$12,IF(117=1,$C$12,G134),"")</f>
        <v>0</v>
      </c>
      <c r="D135" s="12">
        <f>IF(117&lt;=$D$12,$F$12,"")</f>
        <v>0</v>
      </c>
      <c r="E135" s="12">
        <f>IF(117&lt;=$D$12,C135*($E$12/12),"")</f>
        <v>0</v>
      </c>
      <c r="F135" s="12">
        <f>IF(117&lt;=$D$12,D135-E135,"")</f>
        <v>0</v>
      </c>
      <c r="G135" s="12">
        <f>IF(117&lt;=$D$12,MAX(0,C135-F135),"")</f>
        <v>0</v>
      </c>
    </row>
    <row r="136" spans="1:7" x14ac:dyDescent="0.25">
      <c r="A136" s="10">
        <f>IF(118&lt;=$D$12,118,"")</f>
        <v>118</v>
      </c>
      <c r="B136" s="11">
        <f>IF(118&lt;=$D$12,IF($C$16="","",EDATE($C$16,118-1)),"")</f>
        <v>3561</v>
      </c>
      <c r="C136" s="12">
        <f>IF(118&lt;=$D$12,IF(118=1,$C$12,G135),"")</f>
        <v>0</v>
      </c>
      <c r="D136" s="12">
        <f>IF(118&lt;=$D$12,$F$12,"")</f>
        <v>0</v>
      </c>
      <c r="E136" s="12">
        <f>IF(118&lt;=$D$12,C136*($E$12/12),"")</f>
        <v>0</v>
      </c>
      <c r="F136" s="12">
        <f>IF(118&lt;=$D$12,D136-E136,"")</f>
        <v>0</v>
      </c>
      <c r="G136" s="12">
        <f>IF(118&lt;=$D$12,MAX(0,C136-F136),"")</f>
        <v>0</v>
      </c>
    </row>
    <row r="137" spans="1:7" x14ac:dyDescent="0.25">
      <c r="A137" s="10">
        <f>IF(119&lt;=$D$12,119,"")</f>
        <v>119</v>
      </c>
      <c r="B137" s="11">
        <f>IF(119&lt;=$D$12,IF($C$16="","",EDATE($C$16,119-1)),"")</f>
        <v>3592</v>
      </c>
      <c r="C137" s="12">
        <f>IF(119&lt;=$D$12,IF(119=1,$C$12,G136),"")</f>
        <v>0</v>
      </c>
      <c r="D137" s="12">
        <f>IF(119&lt;=$D$12,$F$12,"")</f>
        <v>0</v>
      </c>
      <c r="E137" s="12">
        <f>IF(119&lt;=$D$12,C137*($E$12/12),"")</f>
        <v>0</v>
      </c>
      <c r="F137" s="12">
        <f>IF(119&lt;=$D$12,D137-E137,"")</f>
        <v>0</v>
      </c>
      <c r="G137" s="12">
        <f>IF(119&lt;=$D$12,MAX(0,C137-F137),"")</f>
        <v>0</v>
      </c>
    </row>
    <row r="138" spans="1:7" x14ac:dyDescent="0.25">
      <c r="A138" s="10">
        <f>IF(120&lt;=$D$12,120,"")</f>
        <v>120</v>
      </c>
      <c r="B138" s="11">
        <f>IF(120&lt;=$D$12,IF($C$16="","",EDATE($C$16,120-1)),"")</f>
        <v>3622</v>
      </c>
      <c r="C138" s="12">
        <f>IF(120&lt;=$D$12,IF(120=1,$C$12,G137),"")</f>
        <v>0</v>
      </c>
      <c r="D138" s="12">
        <f>IF(120&lt;=$D$12,$F$12,"")</f>
        <v>0</v>
      </c>
      <c r="E138" s="12">
        <f>IF(120&lt;=$D$12,C138*($E$12/12),"")</f>
        <v>0</v>
      </c>
      <c r="F138" s="12">
        <f>IF(120&lt;=$D$12,D138-E138,"")</f>
        <v>0</v>
      </c>
      <c r="G138" s="12">
        <f>IF(120&lt;=$D$12,MAX(0,C138-F138),"")</f>
        <v>0</v>
      </c>
    </row>
  </sheetData>
  <sheetProtection selectLockedCells="1" selectUnlockedCells="1"/>
  <mergeCells count="6">
    <mergeCell ref="A1:G2"/>
    <mergeCell ref="A5:B5"/>
    <mergeCell ref="A8:B8"/>
    <mergeCell ref="A9:B9"/>
    <mergeCell ref="E9:E10"/>
    <mergeCell ref="C3:G3"/>
  </mergeCells>
  <phoneticPr fontId="2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Solicitud</vt:lpstr>
      <vt:lpstr>Listas</vt:lpstr>
      <vt:lpstr>Análisis de Crédito</vt:lpstr>
      <vt:lpstr>Amortización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Deilys Fernández</cp:lastModifiedBy>
  <dcterms:created xsi:type="dcterms:W3CDTF">2026-04-16T12:34:11Z</dcterms:created>
  <dcterms:modified xsi:type="dcterms:W3CDTF">2026-04-17T04:31:17Z</dcterms:modified>
</cp:coreProperties>
</file>
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7ebd89f623bf1bd/Documentos/Comifarh/COMIFARH diciembre 2019 nuevo/Protocolo de Comifarh/"/>
    </mc:Choice>
  </mc:AlternateContent>
  <xr:revisionPtr revIDLastSave="81" documentId="8_{984892F1-7001-427B-9347-7AE2698F58C3}" xr6:coauthVersionLast="47" xr6:coauthVersionMax="47" xr10:uidLastSave="{AFE8D9B7-9737-494F-B422-EDE4BBC4501D}"/>
  <bookViews>
    <workbookView xWindow="-120" yWindow="-120" windowWidth="20730" windowHeight="11040" activeTab="3" xr2:uid="{00000000-000D-0000-FFFF-FFFF00000000}"/>
  </bookViews>
  <sheets>
    <sheet name="Solicitud" sheetId="1" r:id="rId1"/>
    <sheet name="Listas" sheetId="2" state="hidden" r:id="rId2"/>
    <sheet name="Análisis de Crédito" sheetId="3" r:id="rId3"/>
    <sheet name="Amortización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B37" i="3" l="1"/>
  <c r="C3" i="4"/>
  <c r="C12" i="4"/>
  <c r="D4" i="4" s="1"/>
  <c r="D12" i="4"/>
  <c r="E12" i="4"/>
  <c r="C16" i="4"/>
  <c r="A19" i="4" l="1"/>
  <c r="F12" i="4"/>
  <c r="G12" i="4" s="1"/>
  <c r="A20" i="4"/>
  <c r="A21" i="4"/>
  <c r="A22" i="4"/>
  <c r="D5" i="4"/>
  <c r="D8" i="4" s="1"/>
  <c r="D9" i="4" s="1"/>
  <c r="D61" i="4"/>
  <c r="D26" i="4"/>
  <c r="D58" i="4" l="1"/>
  <c r="D62" i="4"/>
  <c r="D66" i="4"/>
  <c r="D47" i="4"/>
  <c r="D65" i="4"/>
  <c r="D59" i="4"/>
  <c r="D55" i="4"/>
  <c r="D67" i="4"/>
  <c r="D63" i="4"/>
  <c r="D60" i="4"/>
  <c r="D56" i="4"/>
  <c r="D68" i="4"/>
  <c r="D64" i="4"/>
  <c r="D53" i="4"/>
  <c r="D41" i="4"/>
  <c r="D57" i="4"/>
  <c r="D50" i="4"/>
  <c r="D30" i="4"/>
  <c r="D52" i="4"/>
  <c r="D24" i="4"/>
  <c r="D40" i="4"/>
  <c r="D35" i="4"/>
  <c r="D33" i="4"/>
  <c r="D44" i="4"/>
  <c r="D49" i="4"/>
  <c r="D38" i="4"/>
  <c r="D43" i="4"/>
  <c r="D21" i="4"/>
  <c r="D39" i="4"/>
  <c r="D42" i="4"/>
  <c r="D20" i="4"/>
  <c r="D22" i="4"/>
  <c r="D25" i="4"/>
  <c r="D29" i="4"/>
  <c r="D31" i="4"/>
  <c r="D48" i="4"/>
  <c r="D28" i="4"/>
  <c r="D37" i="4"/>
  <c r="D46" i="4"/>
  <c r="D27" i="4"/>
  <c r="D36" i="4"/>
  <c r="D45" i="4"/>
  <c r="D54" i="4"/>
  <c r="D34" i="4"/>
  <c r="D51" i="4"/>
  <c r="D19" i="4"/>
  <c r="D23" i="4"/>
  <c r="D32" i="4"/>
  <c r="B27" i="3"/>
  <c r="B22" i="3" l="1"/>
  <c r="B16" i="3"/>
  <c r="B36" i="3" s="1"/>
  <c r="B15" i="3"/>
  <c r="B14" i="3"/>
  <c r="B25" i="3" s="1"/>
  <c r="B26" i="3" s="1"/>
  <c r="B13" i="3"/>
  <c r="B10" i="1"/>
  <c r="B9" i="1"/>
  <c r="B8" i="1"/>
  <c r="B7" i="1"/>
  <c r="B6" i="1"/>
  <c r="B5" i="1"/>
  <c r="B31" i="3" l="1"/>
  <c r="B32" i="3" s="1"/>
  <c r="B33" i="3" s="1"/>
  <c r="B34" i="3" s="1"/>
  <c r="B28" i="3"/>
  <c r="B30" i="3" s="1"/>
  <c r="B29" i="3"/>
  <c r="B11" i="1"/>
  <c r="B37" i="4"/>
  <c r="A67" i="4"/>
  <c r="B20" i="4"/>
  <c r="B29" i="4"/>
  <c r="B21" i="4"/>
  <c r="B49" i="4"/>
  <c r="D86" i="4"/>
  <c r="A59" i="4"/>
  <c r="B68" i="4"/>
  <c r="B33" i="4"/>
  <c r="A40" i="4"/>
  <c r="A51" i="4"/>
  <c r="A56" i="4"/>
  <c r="A60" i="4"/>
  <c r="A75" i="4"/>
  <c r="B81" i="4"/>
  <c r="A24" i="4"/>
  <c r="A35" i="4"/>
  <c r="A43" i="4"/>
  <c r="B60" i="4"/>
  <c r="B76" i="4"/>
  <c r="A88" i="4"/>
  <c r="A27" i="4"/>
  <c r="A44" i="4"/>
  <c r="A52" i="4"/>
  <c r="D70" i="4"/>
  <c r="A83" i="4"/>
  <c r="A28" i="4"/>
  <c r="A36" i="4"/>
  <c r="B44" i="4"/>
  <c r="B52" i="4"/>
  <c r="B61" i="4"/>
  <c r="B65" i="4"/>
  <c r="D83" i="4"/>
  <c r="B28" i="4"/>
  <c r="B36" i="4"/>
  <c r="B45" i="4"/>
  <c r="B53" i="4"/>
  <c r="A72" i="4"/>
  <c r="D78" i="4"/>
  <c r="B84" i="4"/>
  <c r="A25" i="4"/>
  <c r="B34" i="4"/>
  <c r="A41" i="4"/>
  <c r="B50" i="4"/>
  <c r="A57" i="4"/>
  <c r="B66" i="4"/>
  <c r="A73" i="4"/>
  <c r="B82" i="4"/>
  <c r="D84" i="4"/>
  <c r="A89" i="4"/>
  <c r="B25" i="4"/>
  <c r="A32" i="4"/>
  <c r="B41" i="4"/>
  <c r="A48" i="4"/>
  <c r="B57" i="4"/>
  <c r="A64" i="4"/>
  <c r="B73" i="4"/>
  <c r="D75" i="4"/>
  <c r="A80" i="4"/>
  <c r="B89" i="4"/>
  <c r="B69" i="4"/>
  <c r="D71" i="4"/>
  <c r="A76" i="4"/>
  <c r="B85" i="4"/>
  <c r="D87" i="4"/>
  <c r="B35" i="3"/>
  <c r="C19" i="4"/>
  <c r="B26" i="4"/>
  <c r="A33" i="4"/>
  <c r="B42" i="4"/>
  <c r="A49" i="4"/>
  <c r="B58" i="4"/>
  <c r="A65" i="4"/>
  <c r="B74" i="4"/>
  <c r="D76" i="4"/>
  <c r="A81" i="4"/>
  <c r="B90" i="4"/>
  <c r="A68" i="4"/>
  <c r="B77" i="4"/>
  <c r="D79" i="4"/>
  <c r="A84" i="4"/>
  <c r="B19" i="4"/>
  <c r="A26" i="4"/>
  <c r="B27" i="4"/>
  <c r="A34" i="4"/>
  <c r="B35" i="4"/>
  <c r="A42" i="4"/>
  <c r="B43" i="4"/>
  <c r="A50" i="4"/>
  <c r="B51" i="4"/>
  <c r="A58" i="4"/>
  <c r="B59" i="4"/>
  <c r="A66" i="4"/>
  <c r="B67" i="4"/>
  <c r="D69" i="4"/>
  <c r="A74" i="4"/>
  <c r="B75" i="4"/>
  <c r="D77" i="4"/>
  <c r="A82" i="4"/>
  <c r="B83" i="4"/>
  <c r="D85" i="4"/>
  <c r="A90" i="4"/>
  <c r="A23" i="4"/>
  <c r="B24" i="4"/>
  <c r="A31" i="4"/>
  <c r="B32" i="4"/>
  <c r="A39" i="4"/>
  <c r="B40" i="4"/>
  <c r="A47" i="4"/>
  <c r="B48" i="4"/>
  <c r="A55" i="4"/>
  <c r="B56" i="4"/>
  <c r="A63" i="4"/>
  <c r="B64" i="4"/>
  <c r="A71" i="4"/>
  <c r="B72" i="4"/>
  <c r="D74" i="4"/>
  <c r="A79" i="4"/>
  <c r="B80" i="4"/>
  <c r="D82" i="4"/>
  <c r="A87" i="4"/>
  <c r="B88" i="4"/>
  <c r="D90" i="4"/>
  <c r="B23" i="4"/>
  <c r="A30" i="4"/>
  <c r="B31" i="4"/>
  <c r="A38" i="4"/>
  <c r="B39" i="4"/>
  <c r="A46" i="4"/>
  <c r="B47" i="4"/>
  <c r="A54" i="4"/>
  <c r="B55" i="4"/>
  <c r="A62" i="4"/>
  <c r="B63" i="4"/>
  <c r="A70" i="4"/>
  <c r="B71" i="4"/>
  <c r="D73" i="4"/>
  <c r="A78" i="4"/>
  <c r="B79" i="4"/>
  <c r="D81" i="4"/>
  <c r="A86" i="4"/>
  <c r="B87" i="4"/>
  <c r="D89" i="4"/>
  <c r="B22" i="4"/>
  <c r="A29" i="4"/>
  <c r="B30" i="4"/>
  <c r="A37" i="4"/>
  <c r="B38" i="4"/>
  <c r="A45" i="4"/>
  <c r="B46" i="4"/>
  <c r="A53" i="4"/>
  <c r="B54" i="4"/>
  <c r="A61" i="4"/>
  <c r="B62" i="4"/>
  <c r="A69" i="4"/>
  <c r="B70" i="4"/>
  <c r="D72" i="4"/>
  <c r="A77" i="4"/>
  <c r="B78" i="4"/>
  <c r="D80" i="4"/>
  <c r="A85" i="4"/>
  <c r="B86" i="4"/>
  <c r="D88" i="4"/>
  <c r="E19" i="4" l="1"/>
  <c r="F19" i="4" s="1"/>
  <c r="G19" i="4" s="1"/>
  <c r="C20" i="4" s="1"/>
  <c r="B41" i="3"/>
  <c r="E20" i="4" l="1"/>
  <c r="F20" i="4" s="1"/>
  <c r="G20" i="4" s="1"/>
  <c r="C21" i="4" s="1"/>
  <c r="E21" i="4" s="1"/>
  <c r="F21" i="4" s="1"/>
  <c r="G21" i="4" s="1"/>
  <c r="C22" i="4" s="1"/>
  <c r="E22" i="4" s="1"/>
  <c r="F22" i="4" l="1"/>
  <c r="G22" i="4" s="1"/>
  <c r="C23" i="4" s="1"/>
  <c r="E23" i="4" s="1"/>
  <c r="F23" i="4" l="1"/>
  <c r="G23" i="4" s="1"/>
  <c r="C24" i="4" s="1"/>
  <c r="E24" i="4" s="1"/>
  <c r="F24" i="4" l="1"/>
  <c r="G24" i="4" s="1"/>
  <c r="C25" i="4" s="1"/>
  <c r="E25" i="4" s="1"/>
  <c r="F25" i="4" l="1"/>
  <c r="G25" i="4" s="1"/>
  <c r="C26" i="4" s="1"/>
  <c r="E26" i="4" s="1"/>
  <c r="F26" i="4" l="1"/>
  <c r="G26" i="4" s="1"/>
  <c r="C27" i="4" s="1"/>
  <c r="E27" i="4" s="1"/>
  <c r="F27" i="4" l="1"/>
  <c r="G27" i="4" s="1"/>
  <c r="C28" i="4" s="1"/>
  <c r="E28" i="4" s="1"/>
  <c r="F28" i="4" l="1"/>
  <c r="G28" i="4" s="1"/>
  <c r="C29" i="4" s="1"/>
  <c r="E29" i="4" s="1"/>
  <c r="F29" i="4" l="1"/>
  <c r="G29" i="4" s="1"/>
  <c r="C30" i="4" s="1"/>
  <c r="E30" i="4" s="1"/>
  <c r="F30" i="4" l="1"/>
  <c r="G30" i="4" s="1"/>
  <c r="C31" i="4" s="1"/>
  <c r="E31" i="4" s="1"/>
  <c r="F31" i="4" l="1"/>
  <c r="G31" i="4" s="1"/>
  <c r="C32" i="4" s="1"/>
  <c r="E32" i="4" s="1"/>
  <c r="F32" i="4" l="1"/>
  <c r="G32" i="4" s="1"/>
  <c r="C33" i="4" s="1"/>
  <c r="E33" i="4" s="1"/>
  <c r="F33" i="4" l="1"/>
  <c r="G33" i="4" s="1"/>
  <c r="C34" i="4" s="1"/>
  <c r="E34" i="4" s="1"/>
  <c r="F34" i="4" l="1"/>
  <c r="G34" i="4" s="1"/>
  <c r="C35" i="4" s="1"/>
  <c r="E35" i="4" s="1"/>
  <c r="F35" i="4" l="1"/>
  <c r="G35" i="4" s="1"/>
  <c r="C36" i="4" s="1"/>
  <c r="E36" i="4" s="1"/>
  <c r="F36" i="4" l="1"/>
  <c r="G36" i="4" s="1"/>
  <c r="C37" i="4" s="1"/>
  <c r="E37" i="4" s="1"/>
  <c r="F37" i="4" l="1"/>
  <c r="G37" i="4" s="1"/>
  <c r="C38" i="4" s="1"/>
  <c r="E38" i="4" s="1"/>
  <c r="F38" i="4" l="1"/>
  <c r="G38" i="4" s="1"/>
  <c r="C39" i="4" s="1"/>
  <c r="E39" i="4" s="1"/>
  <c r="F39" i="4" l="1"/>
  <c r="G39" i="4" s="1"/>
  <c r="C40" i="4" s="1"/>
  <c r="E40" i="4" s="1"/>
  <c r="F40" i="4" l="1"/>
  <c r="G40" i="4" s="1"/>
  <c r="C41" i="4" s="1"/>
  <c r="E41" i="4" s="1"/>
  <c r="F41" i="4" l="1"/>
  <c r="G41" i="4" s="1"/>
  <c r="C42" i="4" s="1"/>
  <c r="E42" i="4" s="1"/>
  <c r="F42" i="4" l="1"/>
  <c r="G42" i="4" s="1"/>
  <c r="C43" i="4" s="1"/>
  <c r="E43" i="4" s="1"/>
  <c r="F43" i="4" l="1"/>
  <c r="G43" i="4" s="1"/>
  <c r="C44" i="4" s="1"/>
  <c r="E44" i="4" s="1"/>
  <c r="F44" i="4" l="1"/>
  <c r="G44" i="4" s="1"/>
  <c r="C45" i="4" s="1"/>
  <c r="E45" i="4" s="1"/>
  <c r="F45" i="4" l="1"/>
  <c r="G45" i="4" s="1"/>
  <c r="C46" i="4" s="1"/>
  <c r="E46" i="4" s="1"/>
  <c r="F46" i="4" l="1"/>
  <c r="G46" i="4" s="1"/>
  <c r="C47" i="4" s="1"/>
  <c r="E47" i="4" s="1"/>
  <c r="F47" i="4" l="1"/>
  <c r="G47" i="4" s="1"/>
  <c r="C48" i="4" s="1"/>
  <c r="E48" i="4" s="1"/>
  <c r="F48" i="4" l="1"/>
  <c r="G48" i="4" s="1"/>
  <c r="C49" i="4" s="1"/>
  <c r="E49" i="4" s="1"/>
  <c r="F49" i="4" l="1"/>
  <c r="G49" i="4" s="1"/>
  <c r="C50" i="4" s="1"/>
  <c r="E50" i="4" s="1"/>
  <c r="F50" i="4" l="1"/>
  <c r="G50" i="4" s="1"/>
  <c r="C51" i="4" s="1"/>
  <c r="E51" i="4" s="1"/>
  <c r="F51" i="4" l="1"/>
  <c r="G51" i="4" s="1"/>
  <c r="C52" i="4" s="1"/>
  <c r="E52" i="4" s="1"/>
  <c r="F52" i="4" l="1"/>
  <c r="G52" i="4" s="1"/>
  <c r="C53" i="4" s="1"/>
  <c r="E53" i="4" s="1"/>
  <c r="F53" i="4" l="1"/>
  <c r="G53" i="4" s="1"/>
  <c r="C54" i="4" s="1"/>
  <c r="E54" i="4" s="1"/>
  <c r="F54" i="4" l="1"/>
  <c r="G54" i="4" s="1"/>
  <c r="C55" i="4" s="1"/>
  <c r="E55" i="4" l="1"/>
  <c r="F55" i="4" s="1"/>
  <c r="G55" i="4" s="1"/>
  <c r="C56" i="4" s="1"/>
  <c r="E56" i="4" l="1"/>
  <c r="F56" i="4" s="1"/>
  <c r="G56" i="4" s="1"/>
  <c r="C57" i="4" s="1"/>
  <c r="E57" i="4" l="1"/>
  <c r="F57" i="4" s="1"/>
  <c r="G57" i="4"/>
  <c r="C58" i="4" s="1"/>
  <c r="E58" i="4" l="1"/>
  <c r="F58" i="4" s="1"/>
  <c r="G58" i="4" s="1"/>
  <c r="C59" i="4" s="1"/>
  <c r="E59" i="4" l="1"/>
  <c r="F59" i="4" s="1"/>
  <c r="G59" i="4"/>
  <c r="C60" i="4" s="1"/>
  <c r="E60" i="4" l="1"/>
  <c r="F60" i="4" s="1"/>
  <c r="G60" i="4"/>
  <c r="C61" i="4" s="1"/>
  <c r="E61" i="4" l="1"/>
  <c r="F61" i="4" s="1"/>
  <c r="G61" i="4" s="1"/>
  <c r="C62" i="4" s="1"/>
  <c r="E62" i="4" l="1"/>
  <c r="F62" i="4" s="1"/>
  <c r="G62" i="4"/>
  <c r="C63" i="4" s="1"/>
  <c r="E63" i="4" l="1"/>
  <c r="F63" i="4" s="1"/>
  <c r="G63" i="4"/>
  <c r="C64" i="4" s="1"/>
  <c r="E64" i="4" l="1"/>
  <c r="F64" i="4" s="1"/>
  <c r="G64" i="4"/>
  <c r="C65" i="4" s="1"/>
  <c r="E65" i="4" l="1"/>
  <c r="F65" i="4" s="1"/>
  <c r="G65" i="4" s="1"/>
  <c r="C66" i="4" s="1"/>
  <c r="E66" i="4" l="1"/>
  <c r="F66" i="4" s="1"/>
  <c r="G66" i="4" s="1"/>
  <c r="C67" i="4" s="1"/>
  <c r="E67" i="4" l="1"/>
  <c r="F67" i="4" s="1"/>
  <c r="G67" i="4" s="1"/>
  <c r="C68" i="4" s="1"/>
  <c r="E68" i="4" l="1"/>
  <c r="F68" i="4" s="1"/>
  <c r="G68" i="4" s="1"/>
  <c r="C69" i="4" s="1"/>
  <c r="E69" i="4" l="1"/>
  <c r="F69" i="4" s="1"/>
  <c r="G69" i="4"/>
  <c r="C70" i="4" s="1"/>
  <c r="E70" i="4" l="1"/>
  <c r="F70" i="4" s="1"/>
  <c r="G70" i="4" s="1"/>
  <c r="C71" i="4" s="1"/>
  <c r="E71" i="4" l="1"/>
  <c r="F71" i="4" s="1"/>
  <c r="G71" i="4" s="1"/>
  <c r="C72" i="4" s="1"/>
  <c r="E72" i="4" l="1"/>
  <c r="F72" i="4" s="1"/>
  <c r="G72" i="4"/>
  <c r="C73" i="4" s="1"/>
  <c r="E73" i="4" l="1"/>
  <c r="F73" i="4" s="1"/>
  <c r="G73" i="4" s="1"/>
  <c r="C74" i="4" s="1"/>
  <c r="E74" i="4" l="1"/>
  <c r="F74" i="4" s="1"/>
  <c r="G74" i="4" s="1"/>
  <c r="C75" i="4" s="1"/>
  <c r="E75" i="4" l="1"/>
  <c r="F75" i="4" s="1"/>
  <c r="G75" i="4" s="1"/>
  <c r="C76" i="4" s="1"/>
  <c r="E76" i="4" l="1"/>
  <c r="F76" i="4" s="1"/>
  <c r="G76" i="4" s="1"/>
  <c r="C77" i="4" s="1"/>
  <c r="E77" i="4" l="1"/>
  <c r="F77" i="4" s="1"/>
  <c r="G77" i="4"/>
  <c r="C78" i="4" s="1"/>
  <c r="E78" i="4" l="1"/>
  <c r="F78" i="4" s="1"/>
  <c r="G78" i="4" s="1"/>
  <c r="C79" i="4" s="1"/>
  <c r="E79" i="4" l="1"/>
  <c r="F79" i="4" s="1"/>
  <c r="G79" i="4" s="1"/>
  <c r="C80" i="4" s="1"/>
  <c r="E80" i="4" l="1"/>
  <c r="F80" i="4" s="1"/>
  <c r="G80" i="4" s="1"/>
  <c r="C81" i="4" s="1"/>
  <c r="E81" i="4" l="1"/>
  <c r="F81" i="4" s="1"/>
  <c r="G81" i="4" s="1"/>
  <c r="C82" i="4" s="1"/>
  <c r="E82" i="4" l="1"/>
  <c r="F82" i="4" s="1"/>
  <c r="G82" i="4" s="1"/>
  <c r="C83" i="4" s="1"/>
  <c r="E83" i="4" l="1"/>
  <c r="F83" i="4" s="1"/>
  <c r="G83" i="4" s="1"/>
  <c r="C84" i="4" s="1"/>
  <c r="E84" i="4" l="1"/>
  <c r="F84" i="4" s="1"/>
  <c r="G84" i="4" s="1"/>
  <c r="C85" i="4" s="1"/>
  <c r="E85" i="4" l="1"/>
  <c r="F85" i="4" s="1"/>
  <c r="G85" i="4" s="1"/>
  <c r="C86" i="4" s="1"/>
  <c r="E86" i="4" l="1"/>
  <c r="F86" i="4" s="1"/>
  <c r="G86" i="4" s="1"/>
  <c r="C87" i="4" s="1"/>
  <c r="E87" i="4" l="1"/>
  <c r="F87" i="4" s="1"/>
  <c r="G87" i="4" s="1"/>
  <c r="C88" i="4" s="1"/>
  <c r="E88" i="4" l="1"/>
  <c r="F88" i="4" s="1"/>
  <c r="G88" i="4" s="1"/>
  <c r="C89" i="4" s="1"/>
  <c r="E89" i="4" l="1"/>
  <c r="F89" i="4" s="1"/>
  <c r="G89" i="4" s="1"/>
  <c r="C90" i="4" s="1"/>
  <c r="E90" i="4" l="1"/>
  <c r="F90" i="4" s="1"/>
  <c r="G90" i="4" s="1"/>
</calcChain>
</file>

<file path=xl/sharedStrings.xml><?xml version="1.0" encoding="utf-8"?>
<sst xmlns="http://schemas.openxmlformats.org/spreadsheetml/2006/main" count="209" uniqueCount="195">
  <si>
    <t>COOPERATIVA MIXTA DE FARMACÉUTICOS DE HONDURAS (COMIFARH)</t>
  </si>
  <si>
    <t>SOLICITUD DE PRÉSTAMO FIDUCIARIO</t>
  </si>
  <si>
    <t>RESUMEN DEL CRÉDITO</t>
  </si>
  <si>
    <t>Monto solicitado (L)</t>
  </si>
  <si>
    <t>Plazo (meses)</t>
  </si>
  <si>
    <t>Tasa anual</t>
  </si>
  <si>
    <t>Cuota estimada</t>
  </si>
  <si>
    <t>Retención 5%</t>
  </si>
  <si>
    <t>Gastos 3%</t>
  </si>
  <si>
    <t>Desembolso neto</t>
  </si>
  <si>
    <t>I. DATOS GENERALES DEL SOLICITANTE</t>
  </si>
  <si>
    <t>Fecha de solicitud</t>
  </si>
  <si>
    <t>Número de asociado</t>
  </si>
  <si>
    <t>Nombre completo</t>
  </si>
  <si>
    <t>Tipo de identificación</t>
  </si>
  <si>
    <t>Número de identificación</t>
  </si>
  <si>
    <t>Fecha de nacimiento</t>
  </si>
  <si>
    <t>Estado civil</t>
  </si>
  <si>
    <t>Dirección completa</t>
  </si>
  <si>
    <t>Departamento</t>
  </si>
  <si>
    <t>Municipio</t>
  </si>
  <si>
    <t>Teléfono</t>
  </si>
  <si>
    <t>Correo electrónico</t>
  </si>
  <si>
    <t>II. INFORMACIÓN LABORAL</t>
  </si>
  <si>
    <t>Condición laboral</t>
  </si>
  <si>
    <t>Nombre del patrono / empresa</t>
  </si>
  <si>
    <t>Cargo o actividad</t>
  </si>
  <si>
    <t>Antigüedad laboral (Años)</t>
  </si>
  <si>
    <t>Antigüedad laboral (Meses)</t>
  </si>
  <si>
    <t>Ingreso mensual bruto (L)</t>
  </si>
  <si>
    <t>Ingreso mensual neto (L)</t>
  </si>
  <si>
    <t>III. DETALLE DEL PRÉSTAMO SOLICITADO</t>
  </si>
  <si>
    <t>Plazo solicitado (meses)</t>
  </si>
  <si>
    <t>Forma de pago</t>
  </si>
  <si>
    <t>Destino del crédito</t>
  </si>
  <si>
    <t>Descripción del destino</t>
  </si>
  <si>
    <t>Fecha de primer pago (opcional)</t>
  </si>
  <si>
    <t>IV. VALIDACIONES (REGLAMENTO COMIFARH)</t>
  </si>
  <si>
    <t>Total de aportaciones (L) (Obligatorias+Voluntarias)</t>
  </si>
  <si>
    <t>¿Presenta Aval Solidario?</t>
  </si>
  <si>
    <t>¿Presenta Seguro de Deuda endosado a COMIFARH?</t>
  </si>
  <si>
    <t>Aportación mensual vigente (L)</t>
  </si>
  <si>
    <t>V. DATOS DEL AVAL (SI APLICA)</t>
  </si>
  <si>
    <t>Aval - Nombre completo</t>
  </si>
  <si>
    <t>Aval - Tipo de identificación</t>
  </si>
  <si>
    <t>Aval - Número de identificación</t>
  </si>
  <si>
    <t>Aval - Relación con solicitante</t>
  </si>
  <si>
    <t>Aval - Teléfono</t>
  </si>
  <si>
    <t>Aval - Dirección</t>
  </si>
  <si>
    <t>Aval - ¿Es socio COMIFARH?</t>
  </si>
  <si>
    <t>Aval - Número de socio (si aplica)</t>
  </si>
  <si>
    <t>Aval - Patrono/Empresa</t>
  </si>
  <si>
    <t>Aval - Ingreso mensual neto (L)</t>
  </si>
  <si>
    <t>Aval - Firma</t>
  </si>
  <si>
    <t>VI. REFERENCIAS PERSONALES (No convivientes)</t>
  </si>
  <si>
    <t>Referencia 1 - Nombre</t>
  </si>
  <si>
    <t>Referencia 1 - Parentesco</t>
  </si>
  <si>
    <t>Referencia 1 - Teléfono</t>
  </si>
  <si>
    <t>Referencia 2 - Nombre</t>
  </si>
  <si>
    <t>Referencia 2 - Parentesco</t>
  </si>
  <si>
    <t>Referencia 2 - Teléfono</t>
  </si>
  <si>
    <t>VII. DECLARACIÓN</t>
  </si>
  <si>
    <t>Declaro que la información proporcionada es verdadera y autorizo a la cooperativa a verificar los datos consignados, así como consultar centrales de riesgo y referencias necesarias para el análisis del crédito.</t>
  </si>
  <si>
    <t>Lugar y fecha</t>
  </si>
  <si>
    <t>Firma del solicitante</t>
  </si>
  <si>
    <t>VIII. USO EXCLUSIVO DE LA COOPERATIVA</t>
  </si>
  <si>
    <t>Número de solicitud</t>
  </si>
  <si>
    <t>Fecha de recepción</t>
  </si>
  <si>
    <t>Analista de crédito</t>
  </si>
  <si>
    <t>Recomendación</t>
  </si>
  <si>
    <t>Monto aprobado (L)</t>
  </si>
  <si>
    <t>Plazo aprobado (meses)</t>
  </si>
  <si>
    <t>Firma y sello</t>
  </si>
  <si>
    <t>CHECKLIST DE DOCUMENTOS (marque): ☐ Identidad ☐ Constancia de trabajo/Estados fin. ☐ RTN (si aplica) ☐ Aval o Seguro de deuda ☐ Otros</t>
  </si>
  <si>
    <t>tipo_id</t>
  </si>
  <si>
    <t>DNI</t>
  </si>
  <si>
    <t>RTN</t>
  </si>
  <si>
    <t>Pasaporte</t>
  </si>
  <si>
    <t>estado_civil</t>
  </si>
  <si>
    <t>Soltero(a)</t>
  </si>
  <si>
    <t>Casado(a)</t>
  </si>
  <si>
    <t>Unión libre</t>
  </si>
  <si>
    <t>Divorciado(a)</t>
  </si>
  <si>
    <t>Viudo(a)</t>
  </si>
  <si>
    <t>cond_laboral</t>
  </si>
  <si>
    <t>Empleado(a) público</t>
  </si>
  <si>
    <t>Empleado(a) privado</t>
  </si>
  <si>
    <t>Negocio propio</t>
  </si>
  <si>
    <t>Jubilado(a)</t>
  </si>
  <si>
    <t>plazo</t>
  </si>
  <si>
    <t>forma_pago</t>
  </si>
  <si>
    <t>Deducción por planilla</t>
  </si>
  <si>
    <t>Pago en ventanilla</t>
  </si>
  <si>
    <t>Transferencia bancaria</t>
  </si>
  <si>
    <t>destino</t>
  </si>
  <si>
    <t>Consumo personal</t>
  </si>
  <si>
    <t>Educación</t>
  </si>
  <si>
    <t>Salud</t>
  </si>
  <si>
    <t>Consolidación de deudas</t>
  </si>
  <si>
    <t>Vivienda</t>
  </si>
  <si>
    <t>Otro</t>
  </si>
  <si>
    <t>parentesco</t>
  </si>
  <si>
    <t>Familiar</t>
  </si>
  <si>
    <t>Amistad</t>
  </si>
  <si>
    <t>recomendacion</t>
  </si>
  <si>
    <t>Aprobado</t>
  </si>
  <si>
    <t>Condicionado</t>
  </si>
  <si>
    <t>Rechazado</t>
  </si>
  <si>
    <t>si_no</t>
  </si>
  <si>
    <t>Sí</t>
  </si>
  <si>
    <t>No</t>
  </si>
  <si>
    <t>departamento</t>
  </si>
  <si>
    <t>Atlántida</t>
  </si>
  <si>
    <t>Choluteca</t>
  </si>
  <si>
    <t>Colón</t>
  </si>
  <si>
    <t>Comayagua</t>
  </si>
  <si>
    <t>Copán</t>
  </si>
  <si>
    <t>Cortés</t>
  </si>
  <si>
    <t>El Paraíso</t>
  </si>
  <si>
    <t>Francisco Morazán</t>
  </si>
  <si>
    <t>Gracias a Dios</t>
  </si>
  <si>
    <t>Intibucá</t>
  </si>
  <si>
    <t>Islas de la Bahía</t>
  </si>
  <si>
    <t>La Paz</t>
  </si>
  <si>
    <t>Lempira</t>
  </si>
  <si>
    <t>Ocotepeque</t>
  </si>
  <si>
    <t>Olancho</t>
  </si>
  <si>
    <t>Santa Bárbara</t>
  </si>
  <si>
    <t>Valle</t>
  </si>
  <si>
    <t>Yoro</t>
  </si>
  <si>
    <t>aval_es_socio</t>
  </si>
  <si>
    <t>Socio</t>
  </si>
  <si>
    <t>No socio</t>
  </si>
  <si>
    <t>relacion_aval</t>
  </si>
  <si>
    <t>Compañero(a) de trabajo</t>
  </si>
  <si>
    <t>ANÁLISIS DE CRÉDITO – PRÉSTAMO FIDUCICIARIO (COMIFARH)</t>
  </si>
  <si>
    <t>1) PARÁMETROS</t>
  </si>
  <si>
    <t>Tasa anual fiduciario</t>
  </si>
  <si>
    <t>Editable por analista/Junta Directiva</t>
  </si>
  <si>
    <t>Máx. relación deuda/ingreso neto</t>
  </si>
  <si>
    <t>Editable</t>
  </si>
  <si>
    <t>Retención a aportaciones</t>
  </si>
  <si>
    <t>Gastos operativos</t>
  </si>
  <si>
    <t>Techo fiduciario (L)</t>
  </si>
  <si>
    <t>Plazo máximo permitido (meses)</t>
  </si>
  <si>
    <t>2) DATOS (desde Solicitud)</t>
  </si>
  <si>
    <t>Total aportaciones (L)</t>
  </si>
  <si>
    <t>3) OBLIGACIONES (ingrese)</t>
  </si>
  <si>
    <t>Cuotas de préstamos vigentes (L)</t>
  </si>
  <si>
    <t>Gastos fijos estimados (L)</t>
  </si>
  <si>
    <t>Total egresos (L)</t>
  </si>
  <si>
    <t>4) CÁLCULO</t>
  </si>
  <si>
    <t>Monto máximo por aportaciones (5x) (L)</t>
  </si>
  <si>
    <t>Monto máximo permitido (L)</t>
  </si>
  <si>
    <t>Tasa mensual</t>
  </si>
  <si>
    <t>Retención 5% (L)</t>
  </si>
  <si>
    <t>Gastos operativos 3% (L)</t>
  </si>
  <si>
    <t>Desembolso neto estimado (L)</t>
  </si>
  <si>
    <t>Cuota mensual estimada (L)</t>
  </si>
  <si>
    <t>Cuota total (incluye aportación) (L)</t>
  </si>
  <si>
    <t>Relación deuda/ingreso neto (%)</t>
  </si>
  <si>
    <t>Cumple relación ≤ límite</t>
  </si>
  <si>
    <t>Cumple monto ≤ máximo</t>
  </si>
  <si>
    <t>Plazo dentro del máximo</t>
  </si>
  <si>
    <t>Cumple aval o seguro</t>
  </si>
  <si>
    <t>5) DICTAMEN</t>
  </si>
  <si>
    <t>Dictamen del analista</t>
  </si>
  <si>
    <t>Escriba conclusiones y condiciones.</t>
  </si>
  <si>
    <t>Recomendación final</t>
  </si>
  <si>
    <t>TABLA DE AMORTIZACIÓN – PRÉSTAMO FIDUCIARIO</t>
  </si>
  <si>
    <t>Principal</t>
  </si>
  <si>
    <t>Cuota (fórmula)</t>
  </si>
  <si>
    <t>Fecha 1er pago (opcional)</t>
  </si>
  <si>
    <t>#</t>
  </si>
  <si>
    <t>Fecha</t>
  </si>
  <si>
    <t>Saldo inicial</t>
  </si>
  <si>
    <t>Cuota</t>
  </si>
  <si>
    <t>Interés</t>
  </si>
  <si>
    <t>Capital</t>
  </si>
  <si>
    <t>Saldo final</t>
  </si>
  <si>
    <t>CLIENTE:</t>
  </si>
  <si>
    <t xml:space="preserve">Gastos Operativos </t>
  </si>
  <si>
    <t>Aportaciones</t>
  </si>
  <si>
    <t>Cancelación Préstamo</t>
  </si>
  <si>
    <t>Total deducciones</t>
  </si>
  <si>
    <t>Total a desembolsar</t>
  </si>
  <si>
    <t>FECHAS:</t>
  </si>
  <si>
    <t>MONTO</t>
  </si>
  <si>
    <t>PLAZO</t>
  </si>
  <si>
    <t>TASA</t>
  </si>
  <si>
    <t>CUOTA</t>
  </si>
  <si>
    <t>Tasa de Seguridad</t>
  </si>
  <si>
    <t>Inicio</t>
  </si>
  <si>
    <t>Final</t>
  </si>
  <si>
    <t>Cuota+Aport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</si>
</sst>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%"/>
    <numFmt numFmtId="165" formatCode="_-* #,##0.00\ _$_-;\-* #,##0.00\ _$_-;_-* &quot;-&quot;??\ _$_-;_-@_-"/>
    <numFmt numFmtId="166" formatCode="&quot;L&quot;#,##0.00"/>
  </numFmts>
  <fonts count="2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3"/>
      <color rgb="FF1F4E79"/>
      <name val="Calibri"/>
      <family val="2"/>
    </font>
    <font>
      <b/>
      <sz val="11"/>
      <color rgb="FF7F7F7F"/>
      <name val="Calibri"/>
      <family val="2"/>
    </font>
    <font>
      <b/>
      <sz val="11"/>
      <color rgb="FFFFFFFF"/>
      <name val="Calibri"/>
      <family val="2"/>
    </font>
    <font>
      <b/>
      <sz val="11"/>
      <color rgb="FF1F4E79"/>
      <name val="Calibri"/>
      <family val="2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rial Narrow"/>
      <family val="2"/>
    </font>
    <font>
      <sz val="10"/>
      <name val="Arial"/>
      <family val="2"/>
    </font>
    <font>
      <b/>
      <sz val="12"/>
      <color theme="4" tint="-0.499984740745262"/>
      <name val="Times New Roman"/>
      <family val="1"/>
    </font>
    <font>
      <sz val="16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1F4E79"/>
      <name val="Calibri"/>
      <family val="2"/>
    </font>
    <font>
      <i/>
      <sz val="12"/>
      <color rgb="FF404040"/>
      <name val="Calibri"/>
      <family val="2"/>
    </font>
    <font>
      <b/>
      <sz val="12"/>
      <color rgb="FF1F4E79"/>
      <name val="Calibri"/>
      <family val="2"/>
    </font>
    <font>
      <sz val="12"/>
      <color rgb="FF404040"/>
      <name val="Calibri"/>
      <family val="2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</borders>
  <cellStyleXfs count="4">
    <xf numFmtId="0" fontId="0" fillId="0" borderId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</cellStyleXfs>
  <cellXfs count="6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14" fontId="0" fillId="4" borderId="1" xfId="0" applyNumberFormat="1" applyFill="1" applyBorder="1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9" fillId="6" borderId="2" xfId="1" applyFont="1" applyFill="1"/>
    <xf numFmtId="0" fontId="10" fillId="6" borderId="0" xfId="1" applyFont="1" applyFill="1" applyBorder="1"/>
    <xf numFmtId="0" fontId="11" fillId="6" borderId="0" xfId="0" applyFont="1" applyFill="1"/>
    <xf numFmtId="9" fontId="12" fillId="6" borderId="0" xfId="0" applyNumberFormat="1" applyFont="1" applyFill="1"/>
    <xf numFmtId="165" fontId="12" fillId="6" borderId="0" xfId="0" applyNumberFormat="1" applyFont="1" applyFill="1"/>
    <xf numFmtId="0" fontId="12" fillId="6" borderId="0" xfId="0" applyFont="1" applyFill="1"/>
    <xf numFmtId="0" fontId="0" fillId="6" borderId="0" xfId="0" applyFill="1"/>
    <xf numFmtId="0" fontId="10" fillId="6" borderId="0" xfId="1" applyFont="1" applyFill="1" applyBorder="1" applyAlignment="1"/>
    <xf numFmtId="165" fontId="8" fillId="6" borderId="4" xfId="3" applyNumberFormat="1" applyFill="1"/>
    <xf numFmtId="0" fontId="14" fillId="6" borderId="3" xfId="2" applyFont="1" applyFill="1" applyAlignment="1"/>
    <xf numFmtId="4" fontId="15" fillId="0" borderId="1" xfId="0" applyNumberFormat="1" applyFont="1" applyBorder="1"/>
    <xf numFmtId="0" fontId="15" fillId="0" borderId="1" xfId="0" applyFont="1" applyBorder="1"/>
    <xf numFmtId="0" fontId="17" fillId="0" borderId="1" xfId="0" applyFont="1" applyBorder="1"/>
    <xf numFmtId="10" fontId="15" fillId="4" borderId="1" xfId="0" applyNumberFormat="1" applyFont="1" applyFill="1" applyBorder="1" applyProtection="1">
      <protection locked="0"/>
    </xf>
    <xf numFmtId="0" fontId="18" fillId="0" borderId="1" xfId="0" applyFont="1" applyBorder="1" applyAlignment="1">
      <alignment wrapText="1"/>
    </xf>
    <xf numFmtId="3" fontId="15" fillId="4" borderId="1" xfId="0" applyNumberFormat="1" applyFont="1" applyFill="1" applyBorder="1" applyProtection="1">
      <protection locked="0"/>
    </xf>
    <xf numFmtId="0" fontId="15" fillId="4" borderId="1" xfId="0" applyFont="1" applyFill="1" applyBorder="1" applyProtection="1">
      <protection locked="0"/>
    </xf>
    <xf numFmtId="0" fontId="15" fillId="0" borderId="0" xfId="0" applyFont="1"/>
    <xf numFmtId="4" fontId="15" fillId="4" borderId="1" xfId="0" applyNumberFormat="1" applyFont="1" applyFill="1" applyBorder="1" applyProtection="1">
      <protection locked="0"/>
    </xf>
    <xf numFmtId="164" fontId="15" fillId="0" borderId="1" xfId="0" applyNumberFormat="1" applyFont="1" applyBorder="1"/>
    <xf numFmtId="10" fontId="15" fillId="0" borderId="1" xfId="0" applyNumberFormat="1" applyFont="1" applyBorder="1"/>
    <xf numFmtId="0" fontId="17" fillId="0" borderId="1" xfId="0" applyFont="1" applyBorder="1" applyAlignment="1">
      <alignment horizontal="left" vertical="center"/>
    </xf>
    <xf numFmtId="0" fontId="15" fillId="4" borderId="1" xfId="0" applyFont="1" applyFill="1" applyBorder="1" applyAlignment="1" applyProtection="1">
      <alignment vertical="top" wrapText="1"/>
      <protection locked="0"/>
    </xf>
    <xf numFmtId="0" fontId="19" fillId="4" borderId="1" xfId="0" applyFont="1" applyFill="1" applyBorder="1" applyAlignment="1">
      <alignment vertical="center"/>
    </xf>
    <xf numFmtId="4" fontId="15" fillId="5" borderId="5" xfId="0" applyNumberFormat="1" applyFont="1" applyFill="1" applyBorder="1" applyAlignment="1">
      <alignment vertical="center"/>
    </xf>
    <xf numFmtId="1" fontId="15" fillId="5" borderId="5" xfId="0" applyNumberFormat="1" applyFont="1" applyFill="1" applyBorder="1" applyAlignment="1">
      <alignment vertical="center"/>
    </xf>
    <xf numFmtId="10" fontId="15" fillId="5" borderId="5" xfId="0" applyNumberFormat="1" applyFont="1" applyFill="1" applyBorder="1" applyAlignment="1">
      <alignment vertical="center"/>
    </xf>
    <xf numFmtId="0" fontId="17" fillId="0" borderId="1" xfId="0" applyFont="1" applyBorder="1" applyAlignment="1">
      <alignment vertical="center"/>
    </xf>
    <xf numFmtId="14" fontId="15" fillId="5" borderId="1" xfId="0" applyNumberFormat="1" applyFont="1" applyFill="1" applyBorder="1" applyAlignment="1" applyProtection="1">
      <alignment vertical="center"/>
      <protection locked="0"/>
    </xf>
    <xf numFmtId="0" fontId="15" fillId="5" borderId="1" xfId="0" applyFont="1" applyFill="1" applyBorder="1" applyAlignment="1" applyProtection="1">
      <alignment vertical="center"/>
      <protection locked="0"/>
    </xf>
    <xf numFmtId="4" fontId="15" fillId="5" borderId="1" xfId="0" applyNumberFormat="1" applyFont="1" applyFill="1" applyBorder="1" applyAlignment="1" applyProtection="1">
      <alignment vertical="center"/>
      <protection locked="0"/>
    </xf>
    <xf numFmtId="0" fontId="13" fillId="8" borderId="13" xfId="0" applyFont="1" applyFill="1" applyBorder="1" applyAlignment="1">
      <alignment horizontal="center"/>
    </xf>
    <xf numFmtId="14" fontId="13" fillId="6" borderId="15" xfId="0" applyNumberFormat="1" applyFont="1" applyFill="1" applyBorder="1" applyAlignment="1">
      <alignment horizontal="center"/>
    </xf>
    <xf numFmtId="14" fontId="13" fillId="6" borderId="16" xfId="0" applyNumberFormat="1" applyFont="1" applyFill="1" applyBorder="1" applyAlignment="1">
      <alignment horizontal="center"/>
    </xf>
    <xf numFmtId="0" fontId="13" fillId="7" borderId="13" xfId="0" applyFont="1" applyFill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166" fontId="15" fillId="5" borderId="1" xfId="0" applyNumberFormat="1" applyFont="1" applyFill="1" applyBorder="1" applyAlignment="1" applyProtection="1">
      <alignment vertical="center"/>
      <protection locked="0"/>
    </xf>
    <xf numFmtId="0" fontId="15" fillId="0" borderId="1" xfId="0" applyFont="1" applyBorder="1" applyAlignment="1">
      <alignment horizontal="center"/>
    </xf>
    <xf numFmtId="166" fontId="15" fillId="4" borderId="17" xfId="0" applyNumberFormat="1" applyFont="1" applyFill="1" applyBorder="1" applyAlignment="1">
      <alignment horizontal="center"/>
    </xf>
    <xf numFmtId="1" fontId="15" fillId="4" borderId="17" xfId="0" applyNumberFormat="1" applyFont="1" applyFill="1" applyBorder="1" applyAlignment="1">
      <alignment horizontal="center"/>
    </xf>
    <xf numFmtId="10" fontId="15" fillId="4" borderId="17" xfId="0" applyNumberFormat="1" applyFont="1" applyFill="1" applyBorder="1" applyAlignment="1">
      <alignment horizontal="center"/>
    </xf>
    <xf numFmtId="166" fontId="21" fillId="9" borderId="17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6" fillId="2" borderId="1" xfId="0" applyFont="1" applyFill="1" applyBorder="1" applyAlignment="1">
      <alignment vertical="center"/>
    </xf>
    <xf numFmtId="0" fontId="15" fillId="0" borderId="1" xfId="0" applyFont="1" applyBorder="1"/>
    <xf numFmtId="0" fontId="15" fillId="5" borderId="1" xfId="0" applyFont="1" applyFill="1" applyBorder="1" applyAlignment="1" applyProtection="1">
      <alignment vertical="center"/>
      <protection locked="0"/>
    </xf>
    <xf numFmtId="0" fontId="5" fillId="4" borderId="1" xfId="0" applyFont="1" applyFill="1" applyBorder="1" applyAlignment="1">
      <alignment vertical="center" wrapText="1"/>
    </xf>
    <xf numFmtId="0" fontId="0" fillId="0" borderId="1" xfId="0" applyBorder="1"/>
    <xf numFmtId="0" fontId="20" fillId="3" borderId="1" xfId="0" applyFont="1" applyFill="1" applyBorder="1" applyAlignment="1">
      <alignment vertical="top" wrapText="1"/>
    </xf>
    <xf numFmtId="0" fontId="16" fillId="2" borderId="1" xfId="0" applyFont="1" applyFill="1" applyBorder="1" applyAlignment="1">
      <alignment horizontal="center" vertical="center"/>
    </xf>
    <xf numFmtId="0" fontId="15" fillId="0" borderId="5" xfId="0" applyFont="1" applyBorder="1"/>
    <xf numFmtId="0" fontId="2" fillId="0" borderId="0" xfId="0" applyFont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10" fillId="6" borderId="0" xfId="1" applyFont="1" applyFill="1" applyBorder="1" applyAlignment="1"/>
    <xf numFmtId="0" fontId="14" fillId="6" borderId="3" xfId="2" applyFont="1" applyFill="1" applyAlignment="1">
      <alignment horizontal="center"/>
    </xf>
    <xf numFmtId="0" fontId="13" fillId="8" borderId="12" xfId="0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/>
    </xf>
  </cellXfs>
  <cellStyles count="4">
    <cellStyle name="Celda vinculada" xfId="2" builtinId="24"/>
    <cellStyle name="Normal" xfId="0" builtinId="0"/>
    <cellStyle name="Título 3" xfId="1" builtinId="18"/>
    <cellStyle name="Total" xfId="3" builtinId="25"/>
  </cellStyles>
  <dxfs count="3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838200</xdr:colOff>
      <xdr:row>3</xdr:row>
      <xdr:rowOff>133429</xdr:rowOff>
    </xdr:from>
    <xdr:to>
      <xdr:col>3</xdr:col>
      <xdr:colOff>628650</xdr:colOff>
      <xdr:row>10</xdr:row>
      <xdr:rowOff>43383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6E70A5-C4FA-073C-3757-C781700A8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6296025" y="733504"/>
          <a:ext cx="1257300" cy="1310129"/>
        </a:xfrm>
        <a:prstGeom prst="rect">
          <a:avLst/>
        </a:prstGeom>
        <a:ln>
          <a:noFill/>
        </a:ln>
        <a:effectLst>
          <a:reflection stA="0" endPos="65000" dist="50800" dir="5400000" sy="-100000" algn="bl" rotWithShape="0"/>
        </a:effec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Amortizacion" displayName="TablaAmortizacion" ref="A18:G90">
  <autoFilter ref="A18:G90" xr:uid="{00000000-0009-0000-0100-000001000000}"/>
  <tableColumns count="7">
    <tableColumn id="1" xr3:uid="{00000000-0010-0000-0000-000001000000}" name="#"/>
    <tableColumn id="2" xr3:uid="{00000000-0010-0000-0000-000002000000}" name="Fecha"/>
    <tableColumn id="3" xr3:uid="{00000000-0010-0000-0000-000003000000}" name="Saldo inicial"/>
    <tableColumn id="4" xr3:uid="{00000000-0010-0000-0000-000004000000}" name="Cuota"/>
    <tableColumn id="5" xr3:uid="{00000000-0010-0000-0000-000005000000}" name="Interés"/>
    <tableColumn id="6" xr3:uid="{00000000-0010-0000-0000-000006000000}" name="Capital"/>
    <tableColumn id="7" xr3:uid="{00000000-0010-0000-0000-000007000000}" name="Saldo fin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workbookViewId="0">
      <selection activeCell="B7" sqref="B7"/>
    </sheetView>
  </sheetViews>
  <sheetFormatPr baseColWidth="10" defaultColWidth="9.140625" defaultRowHeight="15" x14ac:dyDescent="0.25"/>
  <cols>
    <col min="1" max="1" width="50.5703125" bestFit="1" customWidth="1"/>
    <col min="2" max="2" width="34" customWidth="1"/>
    <col min="3" max="4" width="22" customWidth="1"/>
  </cols>
  <sheetData>
    <row r="1" spans="1:4" x14ac:dyDescent="0.25">
      <c r="A1" s="48" t="s">
        <v>0</v>
      </c>
      <c r="B1" s="49"/>
      <c r="C1" s="49"/>
      <c r="D1" s="49"/>
    </row>
    <row r="2" spans="1:4" x14ac:dyDescent="0.25">
      <c r="A2" s="49"/>
      <c r="B2" s="49"/>
      <c r="C2" s="49"/>
      <c r="D2" s="49"/>
    </row>
    <row r="3" spans="1:4" ht="17.25" x14ac:dyDescent="0.25">
      <c r="A3" s="58" t="s">
        <v>1</v>
      </c>
      <c r="B3" s="49"/>
      <c r="C3" s="49"/>
      <c r="D3" s="49"/>
    </row>
    <row r="4" spans="1:4" ht="15.75" x14ac:dyDescent="0.25">
      <c r="A4" s="56" t="s">
        <v>2</v>
      </c>
      <c r="B4" s="57"/>
      <c r="C4" s="59"/>
      <c r="D4" s="60"/>
    </row>
    <row r="5" spans="1:4" ht="15.75" x14ac:dyDescent="0.25">
      <c r="A5" s="29" t="s">
        <v>3</v>
      </c>
      <c r="B5" s="30">
        <f>B35</f>
        <v>0</v>
      </c>
      <c r="C5" s="61"/>
      <c r="D5" s="62"/>
    </row>
    <row r="6" spans="1:4" ht="15.75" x14ac:dyDescent="0.25">
      <c r="A6" s="29" t="s">
        <v>4</v>
      </c>
      <c r="B6" s="31">
        <f>B36</f>
        <v>0</v>
      </c>
      <c r="C6" s="61"/>
      <c r="D6" s="62"/>
    </row>
    <row r="7" spans="1:4" ht="15.75" x14ac:dyDescent="0.25">
      <c r="A7" s="29" t="s">
        <v>5</v>
      </c>
      <c r="B7" s="32">
        <f>'Análisis de Crédito'!B5</f>
        <v>0.18</v>
      </c>
      <c r="C7" s="61"/>
      <c r="D7" s="62"/>
    </row>
    <row r="8" spans="1:4" ht="15.75" x14ac:dyDescent="0.25">
      <c r="A8" s="29" t="s">
        <v>6</v>
      </c>
      <c r="B8" s="30" t="e">
        <f>Amortización!F12</f>
        <v>#DIV/0!</v>
      </c>
      <c r="C8" s="61"/>
      <c r="D8" s="62"/>
    </row>
    <row r="9" spans="1:4" ht="15.75" x14ac:dyDescent="0.25">
      <c r="A9" s="29" t="s">
        <v>7</v>
      </c>
      <c r="B9" s="30">
        <f>B35*'Análisis de Crédito'!B7</f>
        <v>0</v>
      </c>
      <c r="C9" s="61"/>
      <c r="D9" s="62"/>
    </row>
    <row r="10" spans="1:4" ht="15.75" x14ac:dyDescent="0.25">
      <c r="A10" s="29" t="s">
        <v>8</v>
      </c>
      <c r="B10" s="30">
        <f>B35*'Análisis de Crédito'!B8</f>
        <v>0</v>
      </c>
      <c r="C10" s="61"/>
      <c r="D10" s="62"/>
    </row>
    <row r="11" spans="1:4" ht="15.75" x14ac:dyDescent="0.25">
      <c r="A11" s="29" t="s">
        <v>9</v>
      </c>
      <c r="B11" s="30">
        <f>B35-B9-B10</f>
        <v>0</v>
      </c>
      <c r="C11" s="63"/>
      <c r="D11" s="64"/>
    </row>
    <row r="13" spans="1:4" ht="15.75" x14ac:dyDescent="0.25">
      <c r="A13" s="50" t="s">
        <v>10</v>
      </c>
      <c r="B13" s="51"/>
      <c r="C13" s="51"/>
      <c r="D13" s="51"/>
    </row>
    <row r="14" spans="1:4" ht="15.75" x14ac:dyDescent="0.25">
      <c r="A14" s="33" t="s">
        <v>11</v>
      </c>
      <c r="B14" s="34"/>
      <c r="C14" s="17"/>
      <c r="D14" s="17"/>
    </row>
    <row r="15" spans="1:4" ht="15.75" x14ac:dyDescent="0.25">
      <c r="A15" s="33" t="s">
        <v>12</v>
      </c>
      <c r="B15" s="52"/>
      <c r="C15" s="51"/>
      <c r="D15" s="51"/>
    </row>
    <row r="16" spans="1:4" ht="15.75" x14ac:dyDescent="0.25">
      <c r="A16" s="33" t="s">
        <v>13</v>
      </c>
      <c r="B16" s="52"/>
      <c r="C16" s="51"/>
      <c r="D16" s="51"/>
    </row>
    <row r="17" spans="1:4" ht="15.75" x14ac:dyDescent="0.25">
      <c r="A17" s="33" t="s">
        <v>14</v>
      </c>
      <c r="B17" s="35"/>
      <c r="C17" s="17"/>
      <c r="D17" s="17"/>
    </row>
    <row r="18" spans="1:4" ht="15.75" x14ac:dyDescent="0.25">
      <c r="A18" s="33" t="s">
        <v>15</v>
      </c>
      <c r="B18" s="52"/>
      <c r="C18" s="51"/>
      <c r="D18" s="51"/>
    </row>
    <row r="19" spans="1:4" ht="15.75" x14ac:dyDescent="0.25">
      <c r="A19" s="33" t="s">
        <v>16</v>
      </c>
      <c r="B19" s="34"/>
      <c r="C19" s="17"/>
      <c r="D19" s="17"/>
    </row>
    <row r="20" spans="1:4" ht="15.75" x14ac:dyDescent="0.25">
      <c r="A20" s="33" t="s">
        <v>17</v>
      </c>
      <c r="B20" s="35"/>
      <c r="C20" s="17"/>
      <c r="D20" s="17"/>
    </row>
    <row r="21" spans="1:4" ht="15.75" x14ac:dyDescent="0.25">
      <c r="A21" s="33" t="s">
        <v>18</v>
      </c>
      <c r="B21" s="52"/>
      <c r="C21" s="51"/>
      <c r="D21" s="51"/>
    </row>
    <row r="22" spans="1:4" ht="15.75" x14ac:dyDescent="0.25">
      <c r="A22" s="33" t="s">
        <v>19</v>
      </c>
      <c r="B22" s="35"/>
      <c r="C22" s="17"/>
      <c r="D22" s="17"/>
    </row>
    <row r="23" spans="1:4" ht="15.75" x14ac:dyDescent="0.25">
      <c r="A23" s="33" t="s">
        <v>20</v>
      </c>
      <c r="B23" s="52"/>
      <c r="C23" s="51"/>
      <c r="D23" s="51"/>
    </row>
    <row r="24" spans="1:4" ht="15.75" x14ac:dyDescent="0.25">
      <c r="A24" s="33" t="s">
        <v>21</v>
      </c>
      <c r="B24" s="35"/>
      <c r="C24" s="17"/>
      <c r="D24" s="17"/>
    </row>
    <row r="25" spans="1:4" ht="15.75" x14ac:dyDescent="0.25">
      <c r="A25" s="33" t="s">
        <v>22</v>
      </c>
      <c r="B25" s="52"/>
      <c r="C25" s="51"/>
      <c r="D25" s="51"/>
    </row>
    <row r="26" spans="1:4" ht="15.75" x14ac:dyDescent="0.25">
      <c r="A26" s="50" t="s">
        <v>23</v>
      </c>
      <c r="B26" s="51"/>
      <c r="C26" s="51"/>
      <c r="D26" s="51"/>
    </row>
    <row r="27" spans="1:4" ht="15.75" x14ac:dyDescent="0.25">
      <c r="A27" s="33" t="s">
        <v>24</v>
      </c>
      <c r="B27" s="35"/>
      <c r="C27" s="17"/>
      <c r="D27" s="17"/>
    </row>
    <row r="28" spans="1:4" ht="15.75" x14ac:dyDescent="0.25">
      <c r="A28" s="33" t="s">
        <v>25</v>
      </c>
      <c r="B28" s="52"/>
      <c r="C28" s="51"/>
      <c r="D28" s="51"/>
    </row>
    <row r="29" spans="1:4" ht="15.75" x14ac:dyDescent="0.25">
      <c r="A29" s="33" t="s">
        <v>26</v>
      </c>
      <c r="B29" s="52"/>
      <c r="C29" s="51"/>
      <c r="D29" s="51"/>
    </row>
    <row r="30" spans="1:4" ht="15.75" x14ac:dyDescent="0.25">
      <c r="A30" s="33" t="s">
        <v>27</v>
      </c>
      <c r="B30" s="35"/>
      <c r="C30" s="17"/>
      <c r="D30" s="17"/>
    </row>
    <row r="31" spans="1:4" ht="15.75" x14ac:dyDescent="0.25">
      <c r="A31" s="33" t="s">
        <v>28</v>
      </c>
      <c r="B31" s="35"/>
      <c r="C31" s="17"/>
      <c r="D31" s="17"/>
    </row>
    <row r="32" spans="1:4" ht="15.75" x14ac:dyDescent="0.25">
      <c r="A32" s="33" t="s">
        <v>29</v>
      </c>
      <c r="B32" s="36"/>
      <c r="C32" s="17"/>
      <c r="D32" s="17"/>
    </row>
    <row r="33" spans="1:4" ht="15.75" x14ac:dyDescent="0.25">
      <c r="A33" s="33" t="s">
        <v>30</v>
      </c>
      <c r="B33" s="36"/>
      <c r="C33" s="17"/>
      <c r="D33" s="17"/>
    </row>
    <row r="34" spans="1:4" ht="15.75" x14ac:dyDescent="0.25">
      <c r="A34" s="50" t="s">
        <v>31</v>
      </c>
      <c r="B34" s="51"/>
      <c r="C34" s="51"/>
      <c r="D34" s="51"/>
    </row>
    <row r="35" spans="1:4" ht="15.75" x14ac:dyDescent="0.25">
      <c r="A35" s="33" t="s">
        <v>3</v>
      </c>
      <c r="B35" s="36"/>
      <c r="C35" s="17"/>
      <c r="D35" s="17"/>
    </row>
    <row r="36" spans="1:4" ht="15.75" x14ac:dyDescent="0.25">
      <c r="A36" s="33" t="s">
        <v>32</v>
      </c>
      <c r="B36" s="35"/>
      <c r="C36" s="17"/>
      <c r="D36" s="17"/>
    </row>
    <row r="37" spans="1:4" ht="15.75" x14ac:dyDescent="0.25">
      <c r="A37" s="33" t="s">
        <v>33</v>
      </c>
      <c r="B37" s="35"/>
      <c r="C37" s="17"/>
      <c r="D37" s="17"/>
    </row>
    <row r="38" spans="1:4" ht="15.75" x14ac:dyDescent="0.25">
      <c r="A38" s="33" t="s">
        <v>34</v>
      </c>
      <c r="B38" s="52"/>
      <c r="C38" s="51"/>
      <c r="D38" s="51"/>
    </row>
    <row r="39" spans="1:4" ht="15.75" x14ac:dyDescent="0.25">
      <c r="A39" s="33" t="s">
        <v>35</v>
      </c>
      <c r="B39" s="52"/>
      <c r="C39" s="51"/>
      <c r="D39" s="51"/>
    </row>
    <row r="40" spans="1:4" ht="15.75" x14ac:dyDescent="0.25">
      <c r="A40" s="33" t="s">
        <v>36</v>
      </c>
      <c r="B40" s="34"/>
      <c r="C40" s="17"/>
      <c r="D40" s="17"/>
    </row>
    <row r="41" spans="1:4" ht="15.75" x14ac:dyDescent="0.25">
      <c r="A41" s="50" t="s">
        <v>37</v>
      </c>
      <c r="B41" s="51"/>
      <c r="C41" s="51"/>
      <c r="D41" s="51"/>
    </row>
    <row r="42" spans="1:4" ht="15.75" x14ac:dyDescent="0.25">
      <c r="A42" s="33" t="s">
        <v>38</v>
      </c>
      <c r="B42" s="36"/>
      <c r="C42" s="17"/>
      <c r="D42" s="17"/>
    </row>
    <row r="43" spans="1:4" ht="15.75" x14ac:dyDescent="0.25">
      <c r="A43" s="33" t="s">
        <v>39</v>
      </c>
      <c r="B43" s="35"/>
      <c r="C43" s="17"/>
      <c r="D43" s="17"/>
    </row>
    <row r="44" spans="1:4" ht="15.75" x14ac:dyDescent="0.25">
      <c r="A44" s="33" t="s">
        <v>40</v>
      </c>
      <c r="B44" s="35"/>
      <c r="C44" s="17"/>
      <c r="D44" s="17"/>
    </row>
    <row r="45" spans="1:4" ht="15.75" x14ac:dyDescent="0.25">
      <c r="A45" s="33" t="s">
        <v>41</v>
      </c>
      <c r="B45" s="36"/>
      <c r="C45" s="17"/>
      <c r="D45" s="17"/>
    </row>
    <row r="46" spans="1:4" ht="15.75" x14ac:dyDescent="0.25">
      <c r="A46" s="50" t="s">
        <v>42</v>
      </c>
      <c r="B46" s="51"/>
      <c r="C46" s="51"/>
      <c r="D46" s="51"/>
    </row>
    <row r="47" spans="1:4" ht="15.75" x14ac:dyDescent="0.25">
      <c r="A47" s="33" t="s">
        <v>43</v>
      </c>
      <c r="B47" s="52"/>
      <c r="C47" s="51"/>
      <c r="D47" s="51"/>
    </row>
    <row r="48" spans="1:4" ht="15.75" x14ac:dyDescent="0.25">
      <c r="A48" s="33" t="s">
        <v>44</v>
      </c>
      <c r="B48" s="35"/>
      <c r="C48" s="17"/>
      <c r="D48" s="17"/>
    </row>
    <row r="49" spans="1:4" ht="15.75" x14ac:dyDescent="0.25">
      <c r="A49" s="33" t="s">
        <v>45</v>
      </c>
      <c r="B49" s="52"/>
      <c r="C49" s="51"/>
      <c r="D49" s="51"/>
    </row>
    <row r="50" spans="1:4" ht="15.75" x14ac:dyDescent="0.25">
      <c r="A50" s="33" t="s">
        <v>46</v>
      </c>
      <c r="B50" s="35"/>
      <c r="C50" s="17"/>
      <c r="D50" s="17"/>
    </row>
    <row r="51" spans="1:4" ht="15.75" x14ac:dyDescent="0.25">
      <c r="A51" s="33" t="s">
        <v>47</v>
      </c>
      <c r="B51" s="35"/>
      <c r="C51" s="17"/>
      <c r="D51" s="17"/>
    </row>
    <row r="52" spans="1:4" ht="15.75" x14ac:dyDescent="0.25">
      <c r="A52" s="33" t="s">
        <v>48</v>
      </c>
      <c r="B52" s="52"/>
      <c r="C52" s="51"/>
      <c r="D52" s="51"/>
    </row>
    <row r="53" spans="1:4" ht="15.75" x14ac:dyDescent="0.25">
      <c r="A53" s="33" t="s">
        <v>49</v>
      </c>
      <c r="B53" s="35"/>
      <c r="C53" s="17"/>
      <c r="D53" s="17"/>
    </row>
    <row r="54" spans="1:4" ht="15.75" x14ac:dyDescent="0.25">
      <c r="A54" s="33" t="s">
        <v>50</v>
      </c>
      <c r="B54" s="35"/>
      <c r="C54" s="17"/>
      <c r="D54" s="17"/>
    </row>
    <row r="55" spans="1:4" ht="15.75" x14ac:dyDescent="0.25">
      <c r="A55" s="33" t="s">
        <v>51</v>
      </c>
      <c r="B55" s="52"/>
      <c r="C55" s="51"/>
      <c r="D55" s="51"/>
    </row>
    <row r="56" spans="1:4" ht="15.75" x14ac:dyDescent="0.25">
      <c r="A56" s="33" t="s">
        <v>52</v>
      </c>
      <c r="B56" s="36"/>
      <c r="C56" s="17"/>
      <c r="D56" s="17"/>
    </row>
    <row r="57" spans="1:4" ht="15.75" x14ac:dyDescent="0.25">
      <c r="A57" s="33" t="s">
        <v>53</v>
      </c>
      <c r="B57" s="52"/>
      <c r="C57" s="51"/>
      <c r="D57" s="51"/>
    </row>
    <row r="58" spans="1:4" ht="15.75" x14ac:dyDescent="0.25">
      <c r="A58" s="50" t="s">
        <v>54</v>
      </c>
      <c r="B58" s="51"/>
      <c r="C58" s="51"/>
      <c r="D58" s="51"/>
    </row>
    <row r="59" spans="1:4" ht="15.75" x14ac:dyDescent="0.25">
      <c r="A59" s="33" t="s">
        <v>55</v>
      </c>
      <c r="B59" s="52"/>
      <c r="C59" s="51"/>
      <c r="D59" s="51"/>
    </row>
    <row r="60" spans="1:4" ht="15.75" x14ac:dyDescent="0.25">
      <c r="A60" s="33" t="s">
        <v>56</v>
      </c>
      <c r="B60" s="35"/>
      <c r="C60" s="17"/>
      <c r="D60" s="17"/>
    </row>
    <row r="61" spans="1:4" ht="15.75" x14ac:dyDescent="0.25">
      <c r="A61" s="33" t="s">
        <v>57</v>
      </c>
      <c r="B61" s="35"/>
      <c r="C61" s="17"/>
      <c r="D61" s="17"/>
    </row>
    <row r="62" spans="1:4" ht="15.75" x14ac:dyDescent="0.25">
      <c r="A62" s="33" t="s">
        <v>58</v>
      </c>
      <c r="B62" s="52"/>
      <c r="C62" s="51"/>
      <c r="D62" s="51"/>
    </row>
    <row r="63" spans="1:4" ht="15.75" x14ac:dyDescent="0.25">
      <c r="A63" s="33" t="s">
        <v>59</v>
      </c>
      <c r="B63" s="35"/>
      <c r="C63" s="17"/>
      <c r="D63" s="17"/>
    </row>
    <row r="64" spans="1:4" ht="15.75" x14ac:dyDescent="0.25">
      <c r="A64" s="33" t="s">
        <v>60</v>
      </c>
      <c r="B64" s="35"/>
      <c r="C64" s="17"/>
      <c r="D64" s="17"/>
    </row>
    <row r="65" spans="1:4" ht="15.75" x14ac:dyDescent="0.25">
      <c r="A65" s="50" t="s">
        <v>61</v>
      </c>
      <c r="B65" s="51"/>
      <c r="C65" s="51"/>
      <c r="D65" s="51"/>
    </row>
    <row r="66" spans="1:4" x14ac:dyDescent="0.25">
      <c r="A66" s="55" t="s">
        <v>62</v>
      </c>
      <c r="B66" s="51"/>
      <c r="C66" s="51"/>
      <c r="D66" s="51"/>
    </row>
    <row r="67" spans="1:4" x14ac:dyDescent="0.25">
      <c r="A67" s="51"/>
      <c r="B67" s="51"/>
      <c r="C67" s="51"/>
      <c r="D67" s="51"/>
    </row>
    <row r="68" spans="1:4" x14ac:dyDescent="0.25">
      <c r="A68" s="51"/>
      <c r="B68" s="51"/>
      <c r="C68" s="51"/>
      <c r="D68" s="51"/>
    </row>
    <row r="69" spans="1:4" ht="15.75" x14ac:dyDescent="0.25">
      <c r="A69" s="33" t="s">
        <v>63</v>
      </c>
      <c r="B69" s="52"/>
      <c r="C69" s="51"/>
      <c r="D69" s="51"/>
    </row>
    <row r="70" spans="1:4" ht="15.75" x14ac:dyDescent="0.25">
      <c r="A70" s="33" t="s">
        <v>64</v>
      </c>
      <c r="B70" s="52"/>
      <c r="C70" s="51"/>
      <c r="D70" s="51"/>
    </row>
    <row r="71" spans="1:4" ht="15.75" x14ac:dyDescent="0.25">
      <c r="A71" s="50" t="s">
        <v>65</v>
      </c>
      <c r="B71" s="51"/>
      <c r="C71" s="51"/>
      <c r="D71" s="51"/>
    </row>
    <row r="72" spans="1:4" ht="15.75" x14ac:dyDescent="0.25">
      <c r="A72" s="33" t="s">
        <v>66</v>
      </c>
      <c r="B72" s="35"/>
      <c r="C72" s="17"/>
      <c r="D72" s="17"/>
    </row>
    <row r="73" spans="1:4" ht="15.75" x14ac:dyDescent="0.25">
      <c r="A73" s="33" t="s">
        <v>67</v>
      </c>
      <c r="B73" s="34"/>
      <c r="C73" s="17"/>
      <c r="D73" s="17"/>
    </row>
    <row r="74" spans="1:4" ht="15.75" x14ac:dyDescent="0.25">
      <c r="A74" s="33" t="s">
        <v>68</v>
      </c>
      <c r="B74" s="52"/>
      <c r="C74" s="51"/>
      <c r="D74" s="51"/>
    </row>
    <row r="75" spans="1:4" ht="15.75" x14ac:dyDescent="0.25">
      <c r="A75" s="33" t="s">
        <v>69</v>
      </c>
      <c r="B75" s="35"/>
      <c r="C75" s="17"/>
      <c r="D75" s="17"/>
    </row>
    <row r="76" spans="1:4" ht="15.75" x14ac:dyDescent="0.25">
      <c r="A76" s="33" t="s">
        <v>70</v>
      </c>
      <c r="B76" s="42"/>
      <c r="C76" s="17"/>
      <c r="D76" s="17"/>
    </row>
    <row r="77" spans="1:4" ht="15.75" x14ac:dyDescent="0.25">
      <c r="A77" s="33" t="s">
        <v>71</v>
      </c>
      <c r="B77" s="35"/>
      <c r="C77" s="17"/>
      <c r="D77" s="17"/>
    </row>
    <row r="78" spans="1:4" ht="15.75" x14ac:dyDescent="0.25">
      <c r="A78" s="33" t="s">
        <v>72</v>
      </c>
      <c r="B78" s="52"/>
      <c r="C78" s="51"/>
      <c r="D78" s="51"/>
    </row>
    <row r="79" spans="1:4" ht="15.75" x14ac:dyDescent="0.25">
      <c r="A79" s="23"/>
      <c r="B79" s="23"/>
      <c r="C79" s="23"/>
      <c r="D79" s="23"/>
    </row>
    <row r="80" spans="1:4" ht="27.95" customHeight="1" x14ac:dyDescent="0.25">
      <c r="A80" s="53" t="s">
        <v>73</v>
      </c>
      <c r="B80" s="54"/>
      <c r="C80" s="54"/>
      <c r="D80" s="54"/>
    </row>
  </sheetData>
  <sheetProtection selectLockedCells="1" selectUnlockedCells="1"/>
  <mergeCells count="35">
    <mergeCell ref="A1:D2"/>
    <mergeCell ref="B59:D59"/>
    <mergeCell ref="A34:D34"/>
    <mergeCell ref="A4:B4"/>
    <mergeCell ref="B16:D16"/>
    <mergeCell ref="B18:D18"/>
    <mergeCell ref="B23:D23"/>
    <mergeCell ref="B25:D25"/>
    <mergeCell ref="B15:D15"/>
    <mergeCell ref="A26:D26"/>
    <mergeCell ref="B21:D21"/>
    <mergeCell ref="A3:D3"/>
    <mergeCell ref="B57:D57"/>
    <mergeCell ref="C4:D11"/>
    <mergeCell ref="A71:D71"/>
    <mergeCell ref="A80:D80"/>
    <mergeCell ref="B52:D52"/>
    <mergeCell ref="B28:D28"/>
    <mergeCell ref="A46:D46"/>
    <mergeCell ref="A66:D68"/>
    <mergeCell ref="B39:D39"/>
    <mergeCell ref="A58:D58"/>
    <mergeCell ref="B29:D29"/>
    <mergeCell ref="B62:D62"/>
    <mergeCell ref="B78:D78"/>
    <mergeCell ref="B49:D49"/>
    <mergeCell ref="B74:D74"/>
    <mergeCell ref="A65:D65"/>
    <mergeCell ref="B70:D70"/>
    <mergeCell ref="B55:D55"/>
    <mergeCell ref="B69:D69"/>
    <mergeCell ref="B38:D38"/>
    <mergeCell ref="A41:D41"/>
    <mergeCell ref="B47:D47"/>
    <mergeCell ref="A13:D13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xr:uid="{00000000-0002-0000-0000-000000000000}">
          <x14:formula1>
            <xm:f>Listas!B1:D1</xm:f>
          </x14:formula1>
          <xm:sqref>B17</xm:sqref>
        </x14:dataValidation>
        <x14:dataValidation type="list" xr:uid="{00000000-0002-0000-0000-000001000000}">
          <x14:formula1>
            <xm:f>Listas!B2:F2</xm:f>
          </x14:formula1>
          <xm:sqref>B20</xm:sqref>
        </x14:dataValidation>
        <x14:dataValidation type="list" xr:uid="{00000000-0002-0000-0000-000002000000}">
          <x14:formula1>
            <xm:f>Listas!B3:E3</xm:f>
          </x14:formula1>
          <xm:sqref>B27</xm:sqref>
        </x14:dataValidation>
        <x14:dataValidation type="list" xr:uid="{00000000-0002-0000-0000-000003000000}">
          <x14:formula1>
            <xm:f>Listas!B4:I4</xm:f>
          </x14:formula1>
          <xm:sqref>B36</xm:sqref>
        </x14:dataValidation>
        <x14:dataValidation type="list" xr:uid="{00000000-0002-0000-0000-000004000000}">
          <x14:formula1>
            <xm:f>Listas!B5:D5</xm:f>
          </x14:formula1>
          <xm:sqref>B37</xm:sqref>
        </x14:dataValidation>
        <x14:dataValidation type="list" xr:uid="{00000000-0002-0000-0000-000005000000}">
          <x14:formula1>
            <xm:f>Listas!B10:S10</xm:f>
          </x14:formula1>
          <xm:sqref>B22</xm:sqref>
        </x14:dataValidation>
        <x14:dataValidation type="list" xr:uid="{00000000-0002-0000-0000-000006000000}">
          <x14:formula1>
            <xm:f>Listas!B7:C7</xm:f>
          </x14:formula1>
          <xm:sqref>B60</xm:sqref>
        </x14:dataValidation>
        <x14:dataValidation type="list" xr:uid="{00000000-0002-0000-0000-000007000000}">
          <x14:formula1>
            <xm:f>Listas!B7:C7</xm:f>
          </x14:formula1>
          <xm:sqref>B63</xm:sqref>
        </x14:dataValidation>
        <x14:dataValidation type="list" xr:uid="{00000000-0002-0000-0000-000008000000}">
          <x14:formula1>
            <xm:f>Listas!B8:D8</xm:f>
          </x14:formula1>
          <xm:sqref>B75</xm:sqref>
        </x14:dataValidation>
        <x14:dataValidation type="list" xr:uid="{00000000-0002-0000-0000-000009000000}">
          <x14:formula1>
            <xm:f>Listas!B9:C9</xm:f>
          </x14:formula1>
          <xm:sqref>B43</xm:sqref>
        </x14:dataValidation>
        <x14:dataValidation type="list" xr:uid="{00000000-0002-0000-0000-00000A000000}">
          <x14:formula1>
            <xm:f>Listas!B9:C9</xm:f>
          </x14:formula1>
          <xm:sqref>B44</xm:sqref>
        </x14:dataValidation>
        <x14:dataValidation type="list" xr:uid="{00000000-0002-0000-0000-00000B000000}">
          <x14:formula1>
            <xm:f>Listas!B6:G6</xm:f>
          </x14:formula1>
          <xm:sqref>B38</xm:sqref>
        </x14:dataValidation>
        <x14:dataValidation type="list" xr:uid="{00000000-0002-0000-0000-00000C000000}">
          <x14:formula1>
            <xm:f>Listas!B1:D1</xm:f>
          </x14:formula1>
          <xm:sqref>B48</xm:sqref>
        </x14:dataValidation>
        <x14:dataValidation type="list" xr:uid="{00000000-0002-0000-0000-00000D000000}">
          <x14:formula1>
            <xm:f>Listas!B11:C11</xm:f>
          </x14:formula1>
          <xm:sqref>B53</xm:sqref>
        </x14:dataValidation>
        <x14:dataValidation type="list" xr:uid="{00000000-0002-0000-0000-00000E000000}">
          <x14:formula1>
            <xm:f>Listas!B12:E12</xm:f>
          </x14:formula1>
          <xm:sqref>B50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"/>
  <sheetViews>
    <sheetView workbookViewId="0"/>
  </sheetViews>
  <sheetFormatPr baseColWidth="10" defaultColWidth="9.140625" defaultRowHeight="15" x14ac:dyDescent="0.25"/>
  <sheetData>
    <row r="1" spans="1:19" x14ac:dyDescent="0.25">
      <c r="A1" t="s">
        <v>74</v>
      </c>
      <c r="B1" t="s">
        <v>75</v>
      </c>
      <c r="C1" t="s">
        <v>76</v>
      </c>
      <c r="D1" t="s">
        <v>77</v>
      </c>
    </row>
    <row r="2" spans="1:19" x14ac:dyDescent="0.25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</row>
    <row r="3" spans="1:19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</row>
    <row r="4" spans="1:19" x14ac:dyDescent="0.25">
      <c r="A4" t="s">
        <v>89</v>
      </c>
      <c r="B4">
        <v>6</v>
      </c>
      <c r="C4">
        <v>12</v>
      </c>
      <c r="D4">
        <v>18</v>
      </c>
      <c r="E4">
        <v>24</v>
      </c>
      <c r="F4">
        <v>36</v>
      </c>
      <c r="G4">
        <v>48</v>
      </c>
      <c r="H4">
        <v>60</v>
      </c>
      <c r="I4">
        <v>72</v>
      </c>
    </row>
    <row r="5" spans="1:19" x14ac:dyDescent="0.25">
      <c r="A5" t="s">
        <v>90</v>
      </c>
      <c r="B5" t="s">
        <v>91</v>
      </c>
      <c r="C5" t="s">
        <v>92</v>
      </c>
      <c r="D5" t="s">
        <v>93</v>
      </c>
    </row>
    <row r="6" spans="1:19" x14ac:dyDescent="0.25">
      <c r="A6" t="s">
        <v>94</v>
      </c>
      <c r="B6" t="s">
        <v>95</v>
      </c>
      <c r="C6" t="s">
        <v>96</v>
      </c>
      <c r="D6" t="s">
        <v>97</v>
      </c>
      <c r="E6" t="s">
        <v>98</v>
      </c>
      <c r="F6" t="s">
        <v>99</v>
      </c>
      <c r="G6" t="s">
        <v>100</v>
      </c>
    </row>
    <row r="7" spans="1:19" x14ac:dyDescent="0.25">
      <c r="A7" t="s">
        <v>101</v>
      </c>
      <c r="B7" t="s">
        <v>102</v>
      </c>
      <c r="C7" t="s">
        <v>103</v>
      </c>
    </row>
    <row r="8" spans="1:19" x14ac:dyDescent="0.25">
      <c r="A8" t="s">
        <v>104</v>
      </c>
      <c r="B8" t="s">
        <v>105</v>
      </c>
      <c r="C8" t="s">
        <v>106</v>
      </c>
      <c r="D8" t="s">
        <v>107</v>
      </c>
    </row>
    <row r="9" spans="1:19" x14ac:dyDescent="0.25">
      <c r="A9" t="s">
        <v>108</v>
      </c>
      <c r="B9" t="s">
        <v>109</v>
      </c>
      <c r="C9" t="s">
        <v>110</v>
      </c>
    </row>
    <row r="10" spans="1:19" x14ac:dyDescent="0.25">
      <c r="A10" t="s">
        <v>111</v>
      </c>
      <c r="B10" t="s">
        <v>112</v>
      </c>
      <c r="C10" t="s">
        <v>113</v>
      </c>
      <c r="D10" t="s">
        <v>114</v>
      </c>
      <c r="E10" t="s">
        <v>115</v>
      </c>
      <c r="F10" t="s">
        <v>116</v>
      </c>
      <c r="G10" t="s">
        <v>117</v>
      </c>
      <c r="H10" t="s">
        <v>118</v>
      </c>
      <c r="I10" t="s">
        <v>119</v>
      </c>
      <c r="J10" t="s">
        <v>120</v>
      </c>
      <c r="K10" t="s">
        <v>121</v>
      </c>
      <c r="L10" t="s">
        <v>122</v>
      </c>
      <c r="M10" t="s">
        <v>123</v>
      </c>
      <c r="N10" t="s">
        <v>124</v>
      </c>
      <c r="O10" t="s">
        <v>125</v>
      </c>
      <c r="P10" t="s">
        <v>126</v>
      </c>
      <c r="Q10" t="s">
        <v>127</v>
      </c>
      <c r="R10" t="s">
        <v>128</v>
      </c>
      <c r="S10" t="s">
        <v>129</v>
      </c>
    </row>
    <row r="11" spans="1:19" x14ac:dyDescent="0.25">
      <c r="A11" t="s">
        <v>130</v>
      </c>
      <c r="B11" t="s">
        <v>131</v>
      </c>
      <c r="C11" t="s">
        <v>132</v>
      </c>
    </row>
    <row r="12" spans="1:19" x14ac:dyDescent="0.25">
      <c r="A12" t="s">
        <v>133</v>
      </c>
      <c r="B12" t="s">
        <v>102</v>
      </c>
      <c r="C12" t="s">
        <v>103</v>
      </c>
      <c r="D12" t="s">
        <v>134</v>
      </c>
      <c r="E12" t="s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workbookViewId="0">
      <pane ySplit="3" topLeftCell="A12" activePane="bottomLeft" state="frozen"/>
      <selection pane="bottomLeft" activeCell="D7" sqref="D7:D8"/>
    </sheetView>
  </sheetViews>
  <sheetFormatPr baseColWidth="10" defaultColWidth="9.140625" defaultRowHeight="15" x14ac:dyDescent="0.25"/>
  <cols>
    <col min="1" max="1" width="46" customWidth="1"/>
    <col min="2" max="2" width="22" customWidth="1"/>
    <col min="3" max="3" width="18" customWidth="1"/>
    <col min="4" max="4" width="42" customWidth="1"/>
  </cols>
  <sheetData>
    <row r="1" spans="1:4" x14ac:dyDescent="0.25">
      <c r="A1" s="48" t="s">
        <v>135</v>
      </c>
      <c r="B1" s="49"/>
      <c r="C1" s="49"/>
      <c r="D1" s="49"/>
    </row>
    <row r="2" spans="1:4" x14ac:dyDescent="0.25">
      <c r="A2" s="49"/>
      <c r="B2" s="49"/>
      <c r="C2" s="49"/>
      <c r="D2" s="49"/>
    </row>
    <row r="4" spans="1:4" ht="15.75" x14ac:dyDescent="0.25">
      <c r="A4" s="50" t="s">
        <v>136</v>
      </c>
      <c r="B4" s="51"/>
      <c r="C4" s="51"/>
      <c r="D4" s="51"/>
    </row>
    <row r="5" spans="1:4" ht="15.75" x14ac:dyDescent="0.25">
      <c r="A5" s="18" t="s">
        <v>137</v>
      </c>
      <c r="B5" s="19">
        <v>0.18</v>
      </c>
      <c r="C5" s="17"/>
      <c r="D5" s="20" t="s">
        <v>138</v>
      </c>
    </row>
    <row r="6" spans="1:4" ht="15.75" x14ac:dyDescent="0.25">
      <c r="A6" s="18" t="s">
        <v>139</v>
      </c>
      <c r="B6" s="19">
        <v>0.3</v>
      </c>
      <c r="C6" s="17"/>
      <c r="D6" s="20" t="s">
        <v>140</v>
      </c>
    </row>
    <row r="7" spans="1:4" ht="15.75" x14ac:dyDescent="0.25">
      <c r="A7" s="18" t="s">
        <v>141</v>
      </c>
      <c r="B7" s="19">
        <v>0.05</v>
      </c>
      <c r="C7" s="17"/>
      <c r="D7" s="20" t="s">
        <v>140</v>
      </c>
    </row>
    <row r="8" spans="1:4" ht="15.75" x14ac:dyDescent="0.25">
      <c r="A8" s="18" t="s">
        <v>142</v>
      </c>
      <c r="B8" s="19">
        <v>0.03</v>
      </c>
      <c r="C8" s="17"/>
      <c r="D8" s="20" t="s">
        <v>140</v>
      </c>
    </row>
    <row r="9" spans="1:4" ht="15.75" x14ac:dyDescent="0.25">
      <c r="A9" s="18" t="s">
        <v>143</v>
      </c>
      <c r="B9" s="21">
        <v>300000</v>
      </c>
      <c r="C9" s="17"/>
      <c r="D9" s="20" t="s">
        <v>140</v>
      </c>
    </row>
    <row r="10" spans="1:4" ht="15.75" x14ac:dyDescent="0.25">
      <c r="A10" s="18" t="s">
        <v>144</v>
      </c>
      <c r="B10" s="22">
        <v>72</v>
      </c>
      <c r="C10" s="17"/>
      <c r="D10" s="20" t="s">
        <v>140</v>
      </c>
    </row>
    <row r="11" spans="1:4" ht="15.75" x14ac:dyDescent="0.25">
      <c r="A11" s="23"/>
      <c r="B11" s="23"/>
      <c r="C11" s="23"/>
      <c r="D11" s="23"/>
    </row>
    <row r="12" spans="1:4" ht="15.75" x14ac:dyDescent="0.25">
      <c r="A12" s="50" t="s">
        <v>145</v>
      </c>
      <c r="B12" s="51"/>
      <c r="C12" s="51"/>
      <c r="D12" s="51"/>
    </row>
    <row r="13" spans="1:4" ht="15.75" x14ac:dyDescent="0.25">
      <c r="A13" s="18" t="s">
        <v>30</v>
      </c>
      <c r="B13" s="16">
        <f>Solicitud!B33</f>
        <v>0</v>
      </c>
      <c r="C13" s="17"/>
      <c r="D13" s="17"/>
    </row>
    <row r="14" spans="1:4" ht="15.75" x14ac:dyDescent="0.25">
      <c r="A14" s="18" t="s">
        <v>146</v>
      </c>
      <c r="B14" s="16">
        <f>Solicitud!B42</f>
        <v>0</v>
      </c>
      <c r="C14" s="17"/>
      <c r="D14" s="17"/>
    </row>
    <row r="15" spans="1:4" ht="15.75" x14ac:dyDescent="0.25">
      <c r="A15" s="18" t="s">
        <v>3</v>
      </c>
      <c r="B15" s="16">
        <f>Solicitud!B35</f>
        <v>0</v>
      </c>
      <c r="C15" s="17"/>
      <c r="D15" s="17"/>
    </row>
    <row r="16" spans="1:4" ht="15.75" x14ac:dyDescent="0.25">
      <c r="A16" s="18" t="s">
        <v>32</v>
      </c>
      <c r="B16" s="17">
        <f>Solicitud!B36</f>
        <v>0</v>
      </c>
      <c r="C16" s="17"/>
      <c r="D16" s="17"/>
    </row>
    <row r="17" spans="1:4" ht="15.75" x14ac:dyDescent="0.25">
      <c r="A17" s="18" t="s">
        <v>41</v>
      </c>
      <c r="B17" s="16">
        <f>Solicitud!B45</f>
        <v>0</v>
      </c>
      <c r="C17" s="17"/>
      <c r="D17" s="17"/>
    </row>
    <row r="18" spans="1:4" ht="15.75" x14ac:dyDescent="0.25">
      <c r="A18" s="23"/>
      <c r="B18" s="23"/>
      <c r="C18" s="23"/>
      <c r="D18" s="23"/>
    </row>
    <row r="19" spans="1:4" ht="15.75" x14ac:dyDescent="0.25">
      <c r="A19" s="50" t="s">
        <v>147</v>
      </c>
      <c r="B19" s="51"/>
      <c r="C19" s="51"/>
      <c r="D19" s="51"/>
    </row>
    <row r="20" spans="1:4" ht="15.75" x14ac:dyDescent="0.25">
      <c r="A20" s="18" t="s">
        <v>148</v>
      </c>
      <c r="B20" s="24"/>
      <c r="C20" s="17"/>
      <c r="D20" s="17"/>
    </row>
    <row r="21" spans="1:4" ht="15.75" x14ac:dyDescent="0.25">
      <c r="A21" s="18" t="s">
        <v>149</v>
      </c>
      <c r="B21" s="24">
        <v>3000</v>
      </c>
      <c r="C21" s="17"/>
      <c r="D21" s="17"/>
    </row>
    <row r="22" spans="1:4" ht="15.75" x14ac:dyDescent="0.25">
      <c r="A22" s="18" t="s">
        <v>150</v>
      </c>
      <c r="B22" s="16">
        <f>SUM(B20:B21)</f>
        <v>3000</v>
      </c>
      <c r="C22" s="17"/>
      <c r="D22" s="17"/>
    </row>
    <row r="23" spans="1:4" ht="15.75" x14ac:dyDescent="0.25">
      <c r="A23" s="23"/>
      <c r="B23" s="23"/>
      <c r="C23" s="23"/>
      <c r="D23" s="23"/>
    </row>
    <row r="24" spans="1:4" ht="15.75" x14ac:dyDescent="0.25">
      <c r="A24" s="50" t="s">
        <v>151</v>
      </c>
      <c r="B24" s="51"/>
      <c r="C24" s="51"/>
      <c r="D24" s="51"/>
    </row>
    <row r="25" spans="1:4" ht="15.75" x14ac:dyDescent="0.25">
      <c r="A25" s="18" t="s">
        <v>152</v>
      </c>
      <c r="B25" s="16">
        <f>5*B14</f>
        <v>0</v>
      </c>
      <c r="C25" s="17"/>
      <c r="D25" s="17"/>
    </row>
    <row r="26" spans="1:4" ht="15.75" x14ac:dyDescent="0.25">
      <c r="A26" s="18" t="s">
        <v>153</v>
      </c>
      <c r="B26" s="16">
        <f>MIN(B25,$B$9)</f>
        <v>0</v>
      </c>
      <c r="C26" s="17"/>
      <c r="D26" s="17"/>
    </row>
    <row r="27" spans="1:4" ht="15.75" x14ac:dyDescent="0.25">
      <c r="A27" s="18" t="s">
        <v>154</v>
      </c>
      <c r="B27" s="25">
        <f>$B$5/12</f>
        <v>1.4999999999999999E-2</v>
      </c>
      <c r="C27" s="17"/>
      <c r="D27" s="17"/>
    </row>
    <row r="28" spans="1:4" ht="15.75" x14ac:dyDescent="0.25">
      <c r="A28" s="18" t="s">
        <v>155</v>
      </c>
      <c r="B28" s="16">
        <f>B15*$B$7</f>
        <v>0</v>
      </c>
      <c r="C28" s="17"/>
      <c r="D28" s="17"/>
    </row>
    <row r="29" spans="1:4" ht="15.75" x14ac:dyDescent="0.25">
      <c r="A29" s="18" t="s">
        <v>156</v>
      </c>
      <c r="B29" s="16">
        <f>B15*$B$8</f>
        <v>0</v>
      </c>
      <c r="C29" s="17"/>
      <c r="D29" s="17"/>
    </row>
    <row r="30" spans="1:4" ht="15.75" x14ac:dyDescent="0.25">
      <c r="A30" s="18" t="s">
        <v>157</v>
      </c>
      <c r="B30" s="16">
        <f>B15-B28-B29</f>
        <v>0</v>
      </c>
      <c r="C30" s="17"/>
      <c r="D30" s="17"/>
    </row>
    <row r="31" spans="1:4" ht="15.75" x14ac:dyDescent="0.25">
      <c r="A31" s="18" t="s">
        <v>158</v>
      </c>
      <c r="B31" s="16" t="e">
        <f>-PMT(B27,B16,B15)</f>
        <v>#NUM!</v>
      </c>
      <c r="C31" s="17"/>
      <c r="D31" s="17"/>
    </row>
    <row r="32" spans="1:4" ht="15.75" x14ac:dyDescent="0.25">
      <c r="A32" s="18" t="s">
        <v>159</v>
      </c>
      <c r="B32" s="16" t="e">
        <f>B31+B17</f>
        <v>#NUM!</v>
      </c>
      <c r="C32" s="17"/>
      <c r="D32" s="17"/>
    </row>
    <row r="33" spans="1:4" ht="15.75" x14ac:dyDescent="0.25">
      <c r="A33" s="18" t="s">
        <v>160</v>
      </c>
      <c r="B33" s="26" t="e">
        <f>(B32+B22)/B13</f>
        <v>#NUM!</v>
      </c>
      <c r="C33" s="17"/>
      <c r="D33" s="17"/>
    </row>
    <row r="34" spans="1:4" ht="15.75" x14ac:dyDescent="0.25">
      <c r="A34" s="18" t="s">
        <v>161</v>
      </c>
      <c r="B34" s="17" t="e">
        <f>IF(B33&lt;=$B$6,"SÍ","NO")</f>
        <v>#NUM!</v>
      </c>
      <c r="C34" s="17"/>
      <c r="D34" s="17"/>
    </row>
    <row r="35" spans="1:4" ht="15.75" x14ac:dyDescent="0.25">
      <c r="A35" s="18" t="s">
        <v>162</v>
      </c>
      <c r="B35" s="17" t="str">
        <f>IF(B16&lt;=B26,"SÍ","NO")</f>
        <v>SÍ</v>
      </c>
      <c r="C35" s="17"/>
      <c r="D35" s="17"/>
    </row>
    <row r="36" spans="1:4" ht="15.75" x14ac:dyDescent="0.25">
      <c r="A36" s="18" t="s">
        <v>163</v>
      </c>
      <c r="B36" s="17" t="str">
        <f>IF(B16&lt;=$B$10,"SÍ","NO")</f>
        <v>SÍ</v>
      </c>
      <c r="C36" s="17"/>
      <c r="D36" s="17"/>
    </row>
    <row r="37" spans="1:4" ht="15.75" x14ac:dyDescent="0.25">
      <c r="A37" s="18" t="s">
        <v>164</v>
      </c>
      <c r="B37" s="17" t="str">
        <f>IF(OR(Solicitud!B43="Sí",Solicitud!B44="Sí"),"SÍ","NO")</f>
        <v>NO</v>
      </c>
      <c r="C37" s="17"/>
      <c r="D37" s="17"/>
    </row>
    <row r="38" spans="1:4" ht="15.75" x14ac:dyDescent="0.25">
      <c r="A38" s="23"/>
      <c r="B38" s="23"/>
      <c r="C38" s="23"/>
      <c r="D38" s="23"/>
    </row>
    <row r="39" spans="1:4" ht="15.75" x14ac:dyDescent="0.25">
      <c r="A39" s="50" t="s">
        <v>165</v>
      </c>
      <c r="B39" s="51"/>
      <c r="C39" s="51"/>
      <c r="D39" s="51"/>
    </row>
    <row r="40" spans="1:4" ht="60" customHeight="1" x14ac:dyDescent="0.25">
      <c r="A40" s="27" t="s">
        <v>166</v>
      </c>
      <c r="B40" s="28"/>
      <c r="C40" s="17"/>
      <c r="D40" s="41" t="s">
        <v>167</v>
      </c>
    </row>
    <row r="41" spans="1:4" ht="15.75" x14ac:dyDescent="0.25">
      <c r="A41" s="18" t="s">
        <v>168</v>
      </c>
      <c r="B41" s="43" t="e">
        <f>IF(AND(B34="SÍ",B35="SÍ",B36="SÍ",B37="SÍ"),"APROBABLE","REVISAR / CONDICIONAR")</f>
        <v>#NUM!</v>
      </c>
      <c r="C41" s="17"/>
      <c r="D41" s="17"/>
    </row>
  </sheetData>
  <sheetProtection selectLockedCells="1" selectUnlockedCells="1"/>
  <mergeCells count="6">
    <mergeCell ref="A1:D2"/>
    <mergeCell ref="A12:D12"/>
    <mergeCell ref="A4:D4"/>
    <mergeCell ref="A39:D39"/>
    <mergeCell ref="A24:D24"/>
    <mergeCell ref="A19:D19"/>
  </mergeCells>
  <conditionalFormatting sqref="B16">
    <cfRule type="cellIs" dxfId="2" priority="9" operator="greaterThan">
      <formula>B26</formula>
    </cfRule>
  </conditionalFormatting>
  <conditionalFormatting sqref="B34:B37">
    <cfRule type="cellIs" dxfId="1" priority="1" operator="equal">
      <formula>"NO"</formula>
    </cfRule>
    <cfRule type="cellIs" dxfId="0" priority="2" operator="equal">
      <formula>"SÍ"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0"/>
  <sheetViews>
    <sheetView showGridLines="0" tabSelected="1" workbookViewId="0">
      <selection activeCell="A3" sqref="A3:G16"/>
    </sheetView>
  </sheetViews>
  <sheetFormatPr baseColWidth="10" defaultColWidth="9.140625" defaultRowHeight="15" x14ac:dyDescent="0.25"/>
  <cols>
    <col min="1" max="1" width="12.140625" customWidth="1"/>
    <col min="2" max="2" width="14" customWidth="1"/>
    <col min="3" max="7" width="18" customWidth="1"/>
  </cols>
  <sheetData>
    <row r="1" spans="1:7" x14ac:dyDescent="0.25">
      <c r="A1" s="48" t="s">
        <v>169</v>
      </c>
      <c r="B1" s="49"/>
      <c r="C1" s="49"/>
      <c r="D1" s="49"/>
      <c r="E1" s="49"/>
      <c r="F1" s="49"/>
      <c r="G1" s="49"/>
    </row>
    <row r="2" spans="1:7" x14ac:dyDescent="0.25">
      <c r="A2" s="49"/>
      <c r="B2" s="49"/>
      <c r="C2" s="49"/>
      <c r="D2" s="49"/>
      <c r="E2" s="49"/>
      <c r="F2" s="49"/>
      <c r="G2" s="49"/>
    </row>
    <row r="3" spans="1:7" ht="21.75" thickBot="1" x14ac:dyDescent="0.4">
      <c r="A3" s="6" t="s">
        <v>180</v>
      </c>
      <c r="B3" s="15"/>
      <c r="C3" s="66">
        <f>Solicitud!B16</f>
        <v>0</v>
      </c>
      <c r="D3" s="66"/>
      <c r="E3" s="66"/>
      <c r="F3" s="66"/>
      <c r="G3" s="66"/>
    </row>
    <row r="4" spans="1:7" ht="16.5" x14ac:dyDescent="0.3">
      <c r="A4" s="7" t="s">
        <v>181</v>
      </c>
      <c r="B4" s="8"/>
      <c r="C4" s="9">
        <v>0.03</v>
      </c>
      <c r="D4" s="10">
        <f>SUM(C12*C4)</f>
        <v>0</v>
      </c>
      <c r="E4" s="11"/>
      <c r="F4" s="12"/>
      <c r="G4" s="11"/>
    </row>
    <row r="5" spans="1:7" x14ac:dyDescent="0.25">
      <c r="A5" s="65" t="s">
        <v>182</v>
      </c>
      <c r="B5" s="65"/>
      <c r="C5" s="9">
        <v>0.05</v>
      </c>
      <c r="D5" s="10">
        <f>SUM(C12*C5)</f>
        <v>0</v>
      </c>
      <c r="E5" s="10"/>
      <c r="F5" s="12"/>
      <c r="G5" s="11"/>
    </row>
    <row r="6" spans="1:7" x14ac:dyDescent="0.25">
      <c r="A6" s="13" t="s">
        <v>191</v>
      </c>
      <c r="B6" s="13"/>
      <c r="C6" s="9"/>
      <c r="D6" s="10"/>
      <c r="E6" s="10"/>
      <c r="F6" s="12"/>
      <c r="G6" s="11"/>
    </row>
    <row r="7" spans="1:7" x14ac:dyDescent="0.25">
      <c r="A7" s="13" t="s">
        <v>183</v>
      </c>
      <c r="B7" s="13"/>
      <c r="C7" s="9"/>
      <c r="D7" s="10">
        <v>0</v>
      </c>
      <c r="E7" s="10"/>
      <c r="F7" s="12"/>
      <c r="G7" s="11"/>
    </row>
    <row r="8" spans="1:7" x14ac:dyDescent="0.25">
      <c r="A8" s="65" t="s">
        <v>184</v>
      </c>
      <c r="B8" s="65"/>
      <c r="C8" s="9"/>
      <c r="D8" s="10">
        <f>SUM(D4:D7)</f>
        <v>0</v>
      </c>
      <c r="E8" s="11"/>
      <c r="F8" s="12"/>
      <c r="G8" s="11"/>
    </row>
    <row r="9" spans="1:7" ht="16.5" thickBot="1" x14ac:dyDescent="0.3">
      <c r="A9" s="65" t="s">
        <v>185</v>
      </c>
      <c r="B9" s="65"/>
      <c r="C9" s="9"/>
      <c r="D9" s="14">
        <f>SUM(C12-D8)</f>
        <v>0</v>
      </c>
      <c r="E9" s="67" t="s">
        <v>186</v>
      </c>
      <c r="F9" s="37" t="s">
        <v>192</v>
      </c>
      <c r="G9" s="37" t="s">
        <v>193</v>
      </c>
    </row>
    <row r="10" spans="1:7" ht="16.5" thickTop="1" x14ac:dyDescent="0.25">
      <c r="A10" s="12"/>
      <c r="B10" s="11"/>
      <c r="C10" s="11"/>
      <c r="D10" s="11"/>
      <c r="E10" s="68"/>
      <c r="F10" s="38"/>
      <c r="G10" s="39"/>
    </row>
    <row r="11" spans="1:7" ht="15.75" x14ac:dyDescent="0.25">
      <c r="A11" s="12"/>
      <c r="B11" s="11"/>
      <c r="C11" s="40" t="s">
        <v>187</v>
      </c>
      <c r="D11" s="40" t="s">
        <v>188</v>
      </c>
      <c r="E11" s="40" t="s">
        <v>189</v>
      </c>
      <c r="F11" s="40" t="s">
        <v>190</v>
      </c>
      <c r="G11" s="40" t="s">
        <v>194</v>
      </c>
    </row>
    <row r="12" spans="1:7" ht="15.75" x14ac:dyDescent="0.25">
      <c r="B12" t="s">
        <v>170</v>
      </c>
      <c r="C12" s="44">
        <f>Solicitud!B35</f>
        <v>0</v>
      </c>
      <c r="D12" s="45">
        <f>Solicitud!B36</f>
        <v>0</v>
      </c>
      <c r="E12" s="46">
        <f>'Análisis de Crédito'!B5</f>
        <v>0.18</v>
      </c>
      <c r="F12" s="44" t="e">
        <f>C12/((1-((1+(E12/12))^-D12))/(E12/12))</f>
        <v>#DIV/0!</v>
      </c>
      <c r="G12" s="47" t="e">
        <f>F12+Solicitud!B45</f>
        <v>#DIV/0!</v>
      </c>
    </row>
    <row r="13" spans="1:7" x14ac:dyDescent="0.25">
      <c r="B13" t="s">
        <v>4</v>
      </c>
    </row>
    <row r="14" spans="1:7" x14ac:dyDescent="0.25">
      <c r="B14" t="s">
        <v>5</v>
      </c>
    </row>
    <row r="15" spans="1:7" x14ac:dyDescent="0.25">
      <c r="B15" t="s">
        <v>171</v>
      </c>
    </row>
    <row r="16" spans="1:7" x14ac:dyDescent="0.25">
      <c r="B16" t="s">
        <v>172</v>
      </c>
      <c r="C16" s="2">
        <f>Solicitud!B40</f>
        <v>0</v>
      </c>
    </row>
    <row r="18" spans="1:7" x14ac:dyDescent="0.25">
      <c r="A18" s="1" t="s">
        <v>173</v>
      </c>
      <c r="B18" s="1" t="s">
        <v>174</v>
      </c>
      <c r="C18" s="1" t="s">
        <v>175</v>
      </c>
      <c r="D18" s="1" t="s">
        <v>176</v>
      </c>
      <c r="E18" s="1" t="s">
        <v>177</v>
      </c>
      <c r="F18" s="1" t="s">
        <v>178</v>
      </c>
      <c r="G18" s="1" t="s">
        <v>179</v>
      </c>
    </row>
    <row r="19" spans="1:7" x14ac:dyDescent="0.25">
      <c r="A19" s="3" t="str">
        <f>IF(1&lt;=$D$12,1,"")</f>
        <v/>
      </c>
      <c r="B19" s="4" t="str">
        <f>IF(1&lt;=$D$12,IF($C$16="","",EDATE($C$16,1-1)),"")</f>
        <v/>
      </c>
      <c r="C19" s="5" t="str">
        <f>IF(1&lt;=$D$12,$C$12,"")</f>
        <v/>
      </c>
      <c r="D19" s="5" t="str">
        <f>IF(1&lt;=$D$12,$F$12,"")</f>
        <v/>
      </c>
      <c r="E19" s="5" t="str">
        <f>IF(1&lt;=$D$12,C19*($E$12/12),"")</f>
        <v/>
      </c>
      <c r="F19" s="5" t="str">
        <f>IF(1&lt;=$D$12,D19-E19,"")</f>
        <v/>
      </c>
      <c r="G19" s="5" t="str">
        <f>IF(1&lt;=$D$12,MAX(0,C19-F19),"")</f>
        <v/>
      </c>
    </row>
    <row r="20" spans="1:7" x14ac:dyDescent="0.25">
      <c r="A20" s="3" t="str">
        <f>IF(2&lt;=$D$12,2,"")</f>
        <v/>
      </c>
      <c r="B20" s="4" t="str">
        <f>IF(2&lt;=$D$12,IF($C$16="","",EDATE($C$16,2-1)),"")</f>
        <v/>
      </c>
      <c r="C20" s="5" t="str">
        <f>IF(2&lt;=$D$12,G19,"")</f>
        <v/>
      </c>
      <c r="D20" s="5" t="str">
        <f t="shared" ref="D20:D54" si="0">IF(1&lt;=$D$12,$F$12,"")</f>
        <v/>
      </c>
      <c r="E20" s="5" t="str">
        <f t="shared" ref="E20:E54" si="1">IF(1&lt;=$D$12,C20*($E$12/12),"")</f>
        <v/>
      </c>
      <c r="F20" s="5" t="str">
        <f>IF(2&lt;=$D$12,D20-E20,"")</f>
        <v/>
      </c>
      <c r="G20" s="5" t="str">
        <f>IF(2&lt;=$D$12,MAX(0,C20-F20),"")</f>
        <v/>
      </c>
    </row>
    <row r="21" spans="1:7" x14ac:dyDescent="0.25">
      <c r="A21" s="3" t="str">
        <f>IF(3&lt;=$D$12,3,"")</f>
        <v/>
      </c>
      <c r="B21" s="4" t="str">
        <f>IF(3&lt;=$D$12,IF($C$16="","",EDATE($C$16,3-1)),"")</f>
        <v/>
      </c>
      <c r="C21" s="5" t="str">
        <f>IF(3&lt;=$D$12,G20,"")</f>
        <v/>
      </c>
      <c r="D21" s="5" t="str">
        <f t="shared" si="0"/>
        <v/>
      </c>
      <c r="E21" s="5" t="str">
        <f t="shared" si="1"/>
        <v/>
      </c>
      <c r="F21" s="5" t="str">
        <f>IF(3&lt;=$D$12,D21-E21,"")</f>
        <v/>
      </c>
      <c r="G21" s="5" t="str">
        <f>IF(3&lt;=$D$12,MAX(0,C21-F21),"")</f>
        <v/>
      </c>
    </row>
    <row r="22" spans="1:7" x14ac:dyDescent="0.25">
      <c r="A22" s="3" t="str">
        <f>IF(4&lt;=$D$12,4,"")</f>
        <v/>
      </c>
      <c r="B22" s="4" t="str">
        <f>IF(4&lt;=$D$12,IF($C$16="","",EDATE($C$16,4-1)),"")</f>
        <v/>
      </c>
      <c r="C22" s="5" t="str">
        <f>IF(4&lt;=$D$12,G21,"")</f>
        <v/>
      </c>
      <c r="D22" s="5" t="str">
        <f t="shared" si="0"/>
        <v/>
      </c>
      <c r="E22" s="5" t="str">
        <f t="shared" si="1"/>
        <v/>
      </c>
      <c r="F22" s="5" t="str">
        <f>IF(4&lt;=$D$12,D22-E22,"")</f>
        <v/>
      </c>
      <c r="G22" s="5" t="str">
        <f>IF(4&lt;=$D$12,MAX(0,C22-F22),"")</f>
        <v/>
      </c>
    </row>
    <row r="23" spans="1:7" x14ac:dyDescent="0.25">
      <c r="A23" s="3" t="str">
        <f>IF(5&lt;=$D$12,5,"")</f>
        <v/>
      </c>
      <c r="B23" s="4" t="str">
        <f>IF(5&lt;=$D$12,IF($C$16="","",EDATE($C$16,5-1)),"")</f>
        <v/>
      </c>
      <c r="C23" s="5" t="str">
        <f>IF(5&lt;=$D$12,G22,"")</f>
        <v/>
      </c>
      <c r="D23" s="5" t="str">
        <f t="shared" si="0"/>
        <v/>
      </c>
      <c r="E23" s="5" t="str">
        <f t="shared" si="1"/>
        <v/>
      </c>
      <c r="F23" s="5" t="str">
        <f>IF(5&lt;=$D$12,D23-E23,"")</f>
        <v/>
      </c>
      <c r="G23" s="5" t="str">
        <f>IF(5&lt;=$D$12,MAX(0,C23-F23),"")</f>
        <v/>
      </c>
    </row>
    <row r="24" spans="1:7" x14ac:dyDescent="0.25">
      <c r="A24" s="3" t="str">
        <f>IF(6&lt;=$D$12,6,"")</f>
        <v/>
      </c>
      <c r="B24" s="4" t="str">
        <f>IF(6&lt;=$D$12,IF($C$16="","",EDATE($C$16,6-1)),"")</f>
        <v/>
      </c>
      <c r="C24" s="5" t="str">
        <f>IF(6&lt;=$D$12,G23,"")</f>
        <v/>
      </c>
      <c r="D24" s="5" t="str">
        <f t="shared" si="0"/>
        <v/>
      </c>
      <c r="E24" s="5" t="str">
        <f t="shared" si="1"/>
        <v/>
      </c>
      <c r="F24" s="5" t="str">
        <f>IF(6&lt;=$D$12,D24-E24,"")</f>
        <v/>
      </c>
      <c r="G24" s="5" t="str">
        <f>IF(6&lt;=$D$12,MAX(0,C24-F24),"")</f>
        <v/>
      </c>
    </row>
    <row r="25" spans="1:7" x14ac:dyDescent="0.25">
      <c r="A25" s="3" t="str">
        <f>IF(7&lt;=$D$12,7,"")</f>
        <v/>
      </c>
      <c r="B25" s="4" t="str">
        <f>IF(7&lt;=$D$12,IF($C$16="","",EDATE($C$16,7-1)),"")</f>
        <v/>
      </c>
      <c r="C25" s="5" t="str">
        <f>IF(7&lt;=$D$12,G24,"")</f>
        <v/>
      </c>
      <c r="D25" s="5" t="str">
        <f t="shared" si="0"/>
        <v/>
      </c>
      <c r="E25" s="5" t="str">
        <f t="shared" si="1"/>
        <v/>
      </c>
      <c r="F25" s="5" t="str">
        <f>IF(7&lt;=$D$12,D25-E25,"")</f>
        <v/>
      </c>
      <c r="G25" s="5" t="str">
        <f>IF(7&lt;=$D$12,MAX(0,C25-F25),"")</f>
        <v/>
      </c>
    </row>
    <row r="26" spans="1:7" x14ac:dyDescent="0.25">
      <c r="A26" s="3" t="str">
        <f>IF(8&lt;=$D$12,8,"")</f>
        <v/>
      </c>
      <c r="B26" s="4" t="str">
        <f>IF(8&lt;=$D$12,IF($C$16="","",EDATE($C$16,8-1)),"")</f>
        <v/>
      </c>
      <c r="C26" s="5" t="str">
        <f>IF(8&lt;=$D$12,G25,"")</f>
        <v/>
      </c>
      <c r="D26" s="5" t="str">
        <f t="shared" si="0"/>
        <v/>
      </c>
      <c r="E26" s="5" t="str">
        <f t="shared" si="1"/>
        <v/>
      </c>
      <c r="F26" s="5" t="str">
        <f>IF(8&lt;=$D$12,D26-E26,"")</f>
        <v/>
      </c>
      <c r="G26" s="5" t="str">
        <f>IF(8&lt;=$D$12,MAX(0,C26-F26),"")</f>
        <v/>
      </c>
    </row>
    <row r="27" spans="1:7" x14ac:dyDescent="0.25">
      <c r="A27" s="3" t="str">
        <f>IF(9&lt;=$D$12,9,"")</f>
        <v/>
      </c>
      <c r="B27" s="4" t="str">
        <f>IF(9&lt;=$D$12,IF($C$16="","",EDATE($C$16,9-1)),"")</f>
        <v/>
      </c>
      <c r="C27" s="5" t="str">
        <f>IF(9&lt;=$D$12,G26,"")</f>
        <v/>
      </c>
      <c r="D27" s="5" t="str">
        <f t="shared" si="0"/>
        <v/>
      </c>
      <c r="E27" s="5" t="str">
        <f t="shared" si="1"/>
        <v/>
      </c>
      <c r="F27" s="5" t="str">
        <f>IF(9&lt;=$D$12,D27-E27,"")</f>
        <v/>
      </c>
      <c r="G27" s="5" t="str">
        <f>IF(9&lt;=$D$12,MAX(0,C27-F27),"")</f>
        <v/>
      </c>
    </row>
    <row r="28" spans="1:7" x14ac:dyDescent="0.25">
      <c r="A28" s="3" t="str">
        <f>IF(10&lt;=$D$12,10,"")</f>
        <v/>
      </c>
      <c r="B28" s="4" t="str">
        <f>IF(10&lt;=$D$12,IF($C$16="","",EDATE($C$16,10-1)),"")</f>
        <v/>
      </c>
      <c r="C28" s="5" t="str">
        <f>IF(10&lt;=$D$12,G27,"")</f>
        <v/>
      </c>
      <c r="D28" s="5" t="str">
        <f t="shared" si="0"/>
        <v/>
      </c>
      <c r="E28" s="5" t="str">
        <f t="shared" si="1"/>
        <v/>
      </c>
      <c r="F28" s="5" t="str">
        <f>IF(10&lt;=$D$12,D28-E28,"")</f>
        <v/>
      </c>
      <c r="G28" s="5" t="str">
        <f>IF(10&lt;=$D$12,MAX(0,C28-F28),"")</f>
        <v/>
      </c>
    </row>
    <row r="29" spans="1:7" x14ac:dyDescent="0.25">
      <c r="A29" s="3" t="str">
        <f>IF(11&lt;=$D$12,11,"")</f>
        <v/>
      </c>
      <c r="B29" s="4" t="str">
        <f>IF(11&lt;=$D$12,IF($C$16="","",EDATE($C$16,11-1)),"")</f>
        <v/>
      </c>
      <c r="C29" s="5" t="str">
        <f>IF(11&lt;=$D$12,G28,"")</f>
        <v/>
      </c>
      <c r="D29" s="5" t="str">
        <f t="shared" si="0"/>
        <v/>
      </c>
      <c r="E29" s="5" t="str">
        <f t="shared" si="1"/>
        <v/>
      </c>
      <c r="F29" s="5" t="str">
        <f>IF(11&lt;=$D$12,D29-E29,"")</f>
        <v/>
      </c>
      <c r="G29" s="5" t="str">
        <f>IF(11&lt;=$D$12,MAX(0,C29-F29),"")</f>
        <v/>
      </c>
    </row>
    <row r="30" spans="1:7" x14ac:dyDescent="0.25">
      <c r="A30" s="3" t="str">
        <f>IF(12&lt;=$D$12,12,"")</f>
        <v/>
      </c>
      <c r="B30" s="4" t="str">
        <f>IF(12&lt;=$D$12,IF($C$16="","",EDATE($C$16,12-1)),"")</f>
        <v/>
      </c>
      <c r="C30" s="5" t="str">
        <f>IF(12&lt;=$D$12,G29,"")</f>
        <v/>
      </c>
      <c r="D30" s="5" t="str">
        <f t="shared" si="0"/>
        <v/>
      </c>
      <c r="E30" s="5" t="str">
        <f t="shared" si="1"/>
        <v/>
      </c>
      <c r="F30" s="5" t="str">
        <f>IF(12&lt;=$D$12,D30-E30,"")</f>
        <v/>
      </c>
      <c r="G30" s="5" t="str">
        <f>IF(12&lt;=$D$12,MAX(0,C30-F30),"")</f>
        <v/>
      </c>
    </row>
    <row r="31" spans="1:7" x14ac:dyDescent="0.25">
      <c r="A31" s="3" t="str">
        <f>IF(13&lt;=$D$12,13,"")</f>
        <v/>
      </c>
      <c r="B31" s="4" t="str">
        <f>IF(13&lt;=$D$12,IF($C$16="","",EDATE($C$16,13-1)),"")</f>
        <v/>
      </c>
      <c r="C31" s="5" t="str">
        <f>IF(13&lt;=$D$12,G30,"")</f>
        <v/>
      </c>
      <c r="D31" s="5" t="str">
        <f t="shared" si="0"/>
        <v/>
      </c>
      <c r="E31" s="5" t="str">
        <f t="shared" si="1"/>
        <v/>
      </c>
      <c r="F31" s="5" t="str">
        <f>IF(13&lt;=$D$12,D31-E31,"")</f>
        <v/>
      </c>
      <c r="G31" s="5" t="str">
        <f>IF(13&lt;=$D$12,MAX(0,C31-F31),"")</f>
        <v/>
      </c>
    </row>
    <row r="32" spans="1:7" x14ac:dyDescent="0.25">
      <c r="A32" s="3" t="str">
        <f>IF(14&lt;=$D$12,14,"")</f>
        <v/>
      </c>
      <c r="B32" s="4" t="str">
        <f>IF(14&lt;=$D$12,IF($C$16="","",EDATE($C$16,14-1)),"")</f>
        <v/>
      </c>
      <c r="C32" s="5" t="str">
        <f>IF(14&lt;=$D$12,G31,"")</f>
        <v/>
      </c>
      <c r="D32" s="5" t="str">
        <f t="shared" si="0"/>
        <v/>
      </c>
      <c r="E32" s="5" t="str">
        <f t="shared" si="1"/>
        <v/>
      </c>
      <c r="F32" s="5" t="str">
        <f>IF(14&lt;=$D$12,D32-E32,"")</f>
        <v/>
      </c>
      <c r="G32" s="5" t="str">
        <f>IF(14&lt;=$D$12,MAX(0,C32-F32),"")</f>
        <v/>
      </c>
    </row>
    <row r="33" spans="1:7" x14ac:dyDescent="0.25">
      <c r="A33" s="3" t="str">
        <f>IF(15&lt;=$D$12,15,"")</f>
        <v/>
      </c>
      <c r="B33" s="4" t="str">
        <f>IF(15&lt;=$D$12,IF($C$16="","",EDATE($C$16,15-1)),"")</f>
        <v/>
      </c>
      <c r="C33" s="5" t="str">
        <f>IF(15&lt;=$D$12,G32,"")</f>
        <v/>
      </c>
      <c r="D33" s="5" t="str">
        <f t="shared" si="0"/>
        <v/>
      </c>
      <c r="E33" s="5" t="str">
        <f t="shared" si="1"/>
        <v/>
      </c>
      <c r="F33" s="5" t="str">
        <f>IF(15&lt;=$D$12,D33-E33,"")</f>
        <v/>
      </c>
      <c r="G33" s="5" t="str">
        <f>IF(15&lt;=$D$12,MAX(0,C33-F33),"")</f>
        <v/>
      </c>
    </row>
    <row r="34" spans="1:7" x14ac:dyDescent="0.25">
      <c r="A34" s="3" t="str">
        <f>IF(16&lt;=$D$12,16,"")</f>
        <v/>
      </c>
      <c r="B34" s="4" t="str">
        <f>IF(16&lt;=$D$12,IF($C$16="","",EDATE($C$16,16-1)),"")</f>
        <v/>
      </c>
      <c r="C34" s="5" t="str">
        <f>IF(16&lt;=$D$12,G33,"")</f>
        <v/>
      </c>
      <c r="D34" s="5" t="str">
        <f t="shared" si="0"/>
        <v/>
      </c>
      <c r="E34" s="5" t="str">
        <f t="shared" si="1"/>
        <v/>
      </c>
      <c r="F34" s="5" t="str">
        <f>IF(16&lt;=$D$12,D34-E34,"")</f>
        <v/>
      </c>
      <c r="G34" s="5" t="str">
        <f>IF(16&lt;=$D$12,MAX(0,C34-F34),"")</f>
        <v/>
      </c>
    </row>
    <row r="35" spans="1:7" x14ac:dyDescent="0.25">
      <c r="A35" s="3" t="str">
        <f>IF(17&lt;=$D$12,17,"")</f>
        <v/>
      </c>
      <c r="B35" s="4" t="str">
        <f>IF(17&lt;=$D$12,IF($C$16="","",EDATE($C$16,17-1)),"")</f>
        <v/>
      </c>
      <c r="C35" s="5" t="str">
        <f>IF(17&lt;=$D$12,G34,"")</f>
        <v/>
      </c>
      <c r="D35" s="5" t="str">
        <f t="shared" si="0"/>
        <v/>
      </c>
      <c r="E35" s="5" t="str">
        <f t="shared" si="1"/>
        <v/>
      </c>
      <c r="F35" s="5" t="str">
        <f>IF(17&lt;=$D$12,D35-E35,"")</f>
        <v/>
      </c>
      <c r="G35" s="5" t="str">
        <f>IF(17&lt;=$D$12,MAX(0,C35-F35),"")</f>
        <v/>
      </c>
    </row>
    <row r="36" spans="1:7" x14ac:dyDescent="0.25">
      <c r="A36" s="3" t="str">
        <f>IF(18&lt;=$D$12,18,"")</f>
        <v/>
      </c>
      <c r="B36" s="4" t="str">
        <f>IF(18&lt;=$D$12,IF($C$16="","",EDATE($C$16,18-1)),"")</f>
        <v/>
      </c>
      <c r="C36" s="5" t="str">
        <f>IF(18&lt;=$D$12,G35,"")</f>
        <v/>
      </c>
      <c r="D36" s="5" t="str">
        <f t="shared" si="0"/>
        <v/>
      </c>
      <c r="E36" s="5" t="str">
        <f t="shared" si="1"/>
        <v/>
      </c>
      <c r="F36" s="5" t="str">
        <f>IF(18&lt;=$D$12,D36-E36,"")</f>
        <v/>
      </c>
      <c r="G36" s="5" t="str">
        <f>IF(18&lt;=$D$12,MAX(0,C36-F36),"")</f>
        <v/>
      </c>
    </row>
    <row r="37" spans="1:7" x14ac:dyDescent="0.25">
      <c r="A37" s="3" t="str">
        <f>IF(19&lt;=$D$12,19,"")</f>
        <v/>
      </c>
      <c r="B37" s="4" t="str">
        <f>IF(19&lt;=$D$12,IF($C$16="","",EDATE($C$16,19-1)),"")</f>
        <v/>
      </c>
      <c r="C37" s="5" t="str">
        <f>IF(19&lt;=$D$12,G36,"")</f>
        <v/>
      </c>
      <c r="D37" s="5" t="str">
        <f t="shared" si="0"/>
        <v/>
      </c>
      <c r="E37" s="5" t="str">
        <f t="shared" si="1"/>
        <v/>
      </c>
      <c r="F37" s="5" t="str">
        <f>IF(19&lt;=$D$12,D37-E37,"")</f>
        <v/>
      </c>
      <c r="G37" s="5" t="str">
        <f>IF(19&lt;=$D$12,MAX(0,C37-F37),"")</f>
        <v/>
      </c>
    </row>
    <row r="38" spans="1:7" x14ac:dyDescent="0.25">
      <c r="A38" s="3" t="str">
        <f>IF(20&lt;=$D$12,20,"")</f>
        <v/>
      </c>
      <c r="B38" s="4" t="str">
        <f>IF(20&lt;=$D$12,IF($C$16="","",EDATE($C$16,20-1)),"")</f>
        <v/>
      </c>
      <c r="C38" s="5" t="str">
        <f>IF(20&lt;=$D$12,G37,"")</f>
        <v/>
      </c>
      <c r="D38" s="5" t="str">
        <f t="shared" si="0"/>
        <v/>
      </c>
      <c r="E38" s="5" t="str">
        <f t="shared" si="1"/>
        <v/>
      </c>
      <c r="F38" s="5" t="str">
        <f>IF(20&lt;=$D$12,D38-E38,"")</f>
        <v/>
      </c>
      <c r="G38" s="5" t="str">
        <f>IF(20&lt;=$D$12,MAX(0,C38-F38),"")</f>
        <v/>
      </c>
    </row>
    <row r="39" spans="1:7" x14ac:dyDescent="0.25">
      <c r="A39" s="3" t="str">
        <f>IF(21&lt;=$D$12,21,"")</f>
        <v/>
      </c>
      <c r="B39" s="4" t="str">
        <f>IF(21&lt;=$D$12,IF($C$16="","",EDATE($C$16,21-1)),"")</f>
        <v/>
      </c>
      <c r="C39" s="5" t="str">
        <f>IF(21&lt;=$D$12,G38,"")</f>
        <v/>
      </c>
      <c r="D39" s="5" t="str">
        <f t="shared" si="0"/>
        <v/>
      </c>
      <c r="E39" s="5" t="str">
        <f t="shared" si="1"/>
        <v/>
      </c>
      <c r="F39" s="5" t="str">
        <f>IF(21&lt;=$D$12,D39-E39,"")</f>
        <v/>
      </c>
      <c r="G39" s="5" t="str">
        <f>IF(21&lt;=$D$12,MAX(0,C39-F39),"")</f>
        <v/>
      </c>
    </row>
    <row r="40" spans="1:7" x14ac:dyDescent="0.25">
      <c r="A40" s="3" t="str">
        <f>IF(22&lt;=$D$12,22,"")</f>
        <v/>
      </c>
      <c r="B40" s="4" t="str">
        <f>IF(22&lt;=$D$12,IF($C$16="","",EDATE($C$16,22-1)),"")</f>
        <v/>
      </c>
      <c r="C40" s="5" t="str">
        <f>IF(22&lt;=$D$12,G39,"")</f>
        <v/>
      </c>
      <c r="D40" s="5" t="str">
        <f t="shared" si="0"/>
        <v/>
      </c>
      <c r="E40" s="5" t="str">
        <f t="shared" si="1"/>
        <v/>
      </c>
      <c r="F40" s="5" t="str">
        <f>IF(22&lt;=$D$12,D40-E40,"")</f>
        <v/>
      </c>
      <c r="G40" s="5" t="str">
        <f>IF(22&lt;=$D$12,MAX(0,C40-F40),"")</f>
        <v/>
      </c>
    </row>
    <row r="41" spans="1:7" x14ac:dyDescent="0.25">
      <c r="A41" s="3" t="str">
        <f>IF(23&lt;=$D$12,23,"")</f>
        <v/>
      </c>
      <c r="B41" s="4" t="str">
        <f>IF(23&lt;=$D$12,IF($C$16="","",EDATE($C$16,23-1)),"")</f>
        <v/>
      </c>
      <c r="C41" s="5" t="str">
        <f>IF(23&lt;=$D$12,G40,"")</f>
        <v/>
      </c>
      <c r="D41" s="5" t="str">
        <f t="shared" si="0"/>
        <v/>
      </c>
      <c r="E41" s="5" t="str">
        <f t="shared" si="1"/>
        <v/>
      </c>
      <c r="F41" s="5" t="str">
        <f>IF(23&lt;=$D$12,D41-E41,"")</f>
        <v/>
      </c>
      <c r="G41" s="5" t="str">
        <f>IF(23&lt;=$D$12,MAX(0,C41-F41),"")</f>
        <v/>
      </c>
    </row>
    <row r="42" spans="1:7" x14ac:dyDescent="0.25">
      <c r="A42" s="3" t="str">
        <f>IF(24&lt;=$D$12,24,"")</f>
        <v/>
      </c>
      <c r="B42" s="4" t="str">
        <f>IF(24&lt;=$D$12,IF($C$16="","",EDATE($C$16,24-1)),"")</f>
        <v/>
      </c>
      <c r="C42" s="5" t="str">
        <f>IF(24&lt;=$D$12,G41,"")</f>
        <v/>
      </c>
      <c r="D42" s="5" t="str">
        <f t="shared" si="0"/>
        <v/>
      </c>
      <c r="E42" s="5" t="str">
        <f t="shared" si="1"/>
        <v/>
      </c>
      <c r="F42" s="5" t="str">
        <f>IF(24&lt;=$D$12,D42-E42,"")</f>
        <v/>
      </c>
      <c r="G42" s="5" t="str">
        <f>IF(24&lt;=$D$12,MAX(0,C42-F42),"")</f>
        <v/>
      </c>
    </row>
    <row r="43" spans="1:7" x14ac:dyDescent="0.25">
      <c r="A43" s="3" t="str">
        <f>IF(25&lt;=$D$12,25,"")</f>
        <v/>
      </c>
      <c r="B43" s="4" t="str">
        <f>IF(25&lt;=$D$12,IF($C$16="","",EDATE($C$16,25-1)),"")</f>
        <v/>
      </c>
      <c r="C43" s="5" t="str">
        <f>IF(25&lt;=$D$12,G42,"")</f>
        <v/>
      </c>
      <c r="D43" s="5" t="str">
        <f t="shared" si="0"/>
        <v/>
      </c>
      <c r="E43" s="5" t="str">
        <f t="shared" si="1"/>
        <v/>
      </c>
      <c r="F43" s="5" t="str">
        <f>IF(25&lt;=$D$12,D43-E43,"")</f>
        <v/>
      </c>
      <c r="G43" s="5" t="str">
        <f>IF(25&lt;=$D$12,MAX(0,C43-F43),"")</f>
        <v/>
      </c>
    </row>
    <row r="44" spans="1:7" x14ac:dyDescent="0.25">
      <c r="A44" s="3" t="str">
        <f>IF(26&lt;=$D$12,26,"")</f>
        <v/>
      </c>
      <c r="B44" s="4" t="str">
        <f>IF(26&lt;=$D$12,IF($C$16="","",EDATE($C$16,26-1)),"")</f>
        <v/>
      </c>
      <c r="C44" s="5" t="str">
        <f>IF(26&lt;=$D$12,G43,"")</f>
        <v/>
      </c>
      <c r="D44" s="5" t="str">
        <f t="shared" si="0"/>
        <v/>
      </c>
      <c r="E44" s="5" t="str">
        <f t="shared" si="1"/>
        <v/>
      </c>
      <c r="F44" s="5" t="str">
        <f>IF(26&lt;=$D$12,D44-E44,"")</f>
        <v/>
      </c>
      <c r="G44" s="5" t="str">
        <f>IF(26&lt;=$D$12,MAX(0,C44-F44),"")</f>
        <v/>
      </c>
    </row>
    <row r="45" spans="1:7" x14ac:dyDescent="0.25">
      <c r="A45" s="3" t="str">
        <f>IF(27&lt;=$D$12,27,"")</f>
        <v/>
      </c>
      <c r="B45" s="4" t="str">
        <f>IF(27&lt;=$D$12,IF($C$16="","",EDATE($C$16,27-1)),"")</f>
        <v/>
      </c>
      <c r="C45" s="5" t="str">
        <f>IF(27&lt;=$D$12,G44,"")</f>
        <v/>
      </c>
      <c r="D45" s="5" t="str">
        <f t="shared" si="0"/>
        <v/>
      </c>
      <c r="E45" s="5" t="str">
        <f t="shared" si="1"/>
        <v/>
      </c>
      <c r="F45" s="5" t="str">
        <f>IF(27&lt;=$D$12,D45-E45,"")</f>
        <v/>
      </c>
      <c r="G45" s="5" t="str">
        <f>IF(27&lt;=$D$12,MAX(0,C45-F45),"")</f>
        <v/>
      </c>
    </row>
    <row r="46" spans="1:7" x14ac:dyDescent="0.25">
      <c r="A46" s="3" t="str">
        <f>IF(28&lt;=$D$12,28,"")</f>
        <v/>
      </c>
      <c r="B46" s="4" t="str">
        <f>IF(28&lt;=$D$12,IF($C$16="","",EDATE($C$16,28-1)),"")</f>
        <v/>
      </c>
      <c r="C46" s="5" t="str">
        <f>IF(28&lt;=$D$12,G45,"")</f>
        <v/>
      </c>
      <c r="D46" s="5" t="str">
        <f t="shared" si="0"/>
        <v/>
      </c>
      <c r="E46" s="5" t="str">
        <f t="shared" si="1"/>
        <v/>
      </c>
      <c r="F46" s="5" t="str">
        <f>IF(28&lt;=$D$12,D46-E46,"")</f>
        <v/>
      </c>
      <c r="G46" s="5" t="str">
        <f>IF(28&lt;=$D$12,MAX(0,C46-F46),"")</f>
        <v/>
      </c>
    </row>
    <row r="47" spans="1:7" x14ac:dyDescent="0.25">
      <c r="A47" s="3" t="str">
        <f>IF(29&lt;=$D$12,29,"")</f>
        <v/>
      </c>
      <c r="B47" s="4" t="str">
        <f>IF(29&lt;=$D$12,IF($C$16="","",EDATE($C$16,29-1)),"")</f>
        <v/>
      </c>
      <c r="C47" s="5" t="str">
        <f>IF(29&lt;=$D$12,G46,"")</f>
        <v/>
      </c>
      <c r="D47" s="5" t="str">
        <f t="shared" si="0"/>
        <v/>
      </c>
      <c r="E47" s="5" t="str">
        <f t="shared" si="1"/>
        <v/>
      </c>
      <c r="F47" s="5" t="str">
        <f>IF(29&lt;=$D$12,D47-E47,"")</f>
        <v/>
      </c>
      <c r="G47" s="5" t="str">
        <f>IF(29&lt;=$D$12,MAX(0,C47-F47),"")</f>
        <v/>
      </c>
    </row>
    <row r="48" spans="1:7" x14ac:dyDescent="0.25">
      <c r="A48" s="3" t="str">
        <f>IF(30&lt;=$D$12,30,"")</f>
        <v/>
      </c>
      <c r="B48" s="4" t="str">
        <f>IF(30&lt;=$D$12,IF($C$16="","",EDATE($C$16,30-1)),"")</f>
        <v/>
      </c>
      <c r="C48" s="5" t="str">
        <f>IF(30&lt;=$D$12,G47,"")</f>
        <v/>
      </c>
      <c r="D48" s="5" t="str">
        <f t="shared" si="0"/>
        <v/>
      </c>
      <c r="E48" s="5" t="str">
        <f t="shared" si="1"/>
        <v/>
      </c>
      <c r="F48" s="5" t="str">
        <f>IF(30&lt;=$D$12,D48-E48,"")</f>
        <v/>
      </c>
      <c r="G48" s="5" t="str">
        <f>IF(30&lt;=$D$12,MAX(0,C48-F48),"")</f>
        <v/>
      </c>
    </row>
    <row r="49" spans="1:7" x14ac:dyDescent="0.25">
      <c r="A49" s="3" t="str">
        <f>IF(31&lt;=$D$12,31,"")</f>
        <v/>
      </c>
      <c r="B49" s="4" t="str">
        <f>IF(31&lt;=$D$12,IF($C$16="","",EDATE($C$16,31-1)),"")</f>
        <v/>
      </c>
      <c r="C49" s="5" t="str">
        <f>IF(31&lt;=$D$12,G48,"")</f>
        <v/>
      </c>
      <c r="D49" s="5" t="str">
        <f t="shared" si="0"/>
        <v/>
      </c>
      <c r="E49" s="5" t="str">
        <f t="shared" si="1"/>
        <v/>
      </c>
      <c r="F49" s="5" t="str">
        <f>IF(31&lt;=$D$12,D49-E49,"")</f>
        <v/>
      </c>
      <c r="G49" s="5" t="str">
        <f>IF(31&lt;=$D$12,MAX(0,C49-F49),"")</f>
        <v/>
      </c>
    </row>
    <row r="50" spans="1:7" x14ac:dyDescent="0.25">
      <c r="A50" s="3" t="str">
        <f>IF(32&lt;=$D$12,32,"")</f>
        <v/>
      </c>
      <c r="B50" s="4" t="str">
        <f>IF(32&lt;=$D$12,IF($C$16="","",EDATE($C$16,32-1)),"")</f>
        <v/>
      </c>
      <c r="C50" s="5" t="str">
        <f>IF(32&lt;=$D$12,G49,"")</f>
        <v/>
      </c>
      <c r="D50" s="5" t="str">
        <f t="shared" si="0"/>
        <v/>
      </c>
      <c r="E50" s="5" t="str">
        <f t="shared" si="1"/>
        <v/>
      </c>
      <c r="F50" s="5" t="str">
        <f>IF(32&lt;=$D$12,D50-E50,"")</f>
        <v/>
      </c>
      <c r="G50" s="5" t="str">
        <f>IF(32&lt;=$D$12,MAX(0,C50-F50),"")</f>
        <v/>
      </c>
    </row>
    <row r="51" spans="1:7" x14ac:dyDescent="0.25">
      <c r="A51" s="3" t="str">
        <f>IF(33&lt;=$D$12,33,"")</f>
        <v/>
      </c>
      <c r="B51" s="4" t="str">
        <f>IF(33&lt;=$D$12,IF($C$16="","",EDATE($C$16,33-1)),"")</f>
        <v/>
      </c>
      <c r="C51" s="5" t="str">
        <f>IF(33&lt;=$D$12,G50,"")</f>
        <v/>
      </c>
      <c r="D51" s="5" t="str">
        <f t="shared" si="0"/>
        <v/>
      </c>
      <c r="E51" s="5" t="str">
        <f t="shared" si="1"/>
        <v/>
      </c>
      <c r="F51" s="5" t="str">
        <f>IF(33&lt;=$D$12,D51-E51,"")</f>
        <v/>
      </c>
      <c r="G51" s="5" t="str">
        <f>IF(33&lt;=$D$12,MAX(0,C51-F51),"")</f>
        <v/>
      </c>
    </row>
    <row r="52" spans="1:7" x14ac:dyDescent="0.25">
      <c r="A52" s="3" t="str">
        <f>IF(34&lt;=$D$12,34,"")</f>
        <v/>
      </c>
      <c r="B52" s="4" t="str">
        <f>IF(34&lt;=$D$12,IF($C$16="","",EDATE($C$16,34-1)),"")</f>
        <v/>
      </c>
      <c r="C52" s="5" t="str">
        <f>IF(34&lt;=$D$12,G51,"")</f>
        <v/>
      </c>
      <c r="D52" s="5" t="str">
        <f t="shared" si="0"/>
        <v/>
      </c>
      <c r="E52" s="5" t="str">
        <f t="shared" si="1"/>
        <v/>
      </c>
      <c r="F52" s="5" t="str">
        <f>IF(34&lt;=$D$12,D52-E52,"")</f>
        <v/>
      </c>
      <c r="G52" s="5" t="str">
        <f>IF(34&lt;=$D$12,MAX(0,C52-F52),"")</f>
        <v/>
      </c>
    </row>
    <row r="53" spans="1:7" x14ac:dyDescent="0.25">
      <c r="A53" s="3" t="str">
        <f>IF(35&lt;=$D$12,35,"")</f>
        <v/>
      </c>
      <c r="B53" s="4" t="str">
        <f>IF(35&lt;=$D$12,IF($C$16="","",EDATE($C$16,35-1)),"")</f>
        <v/>
      </c>
      <c r="C53" s="5" t="str">
        <f>IF(35&lt;=$D$12,G52,"")</f>
        <v/>
      </c>
      <c r="D53" s="5" t="str">
        <f t="shared" si="0"/>
        <v/>
      </c>
      <c r="E53" s="5" t="str">
        <f t="shared" si="1"/>
        <v/>
      </c>
      <c r="F53" s="5" t="str">
        <f>IF(35&lt;=$D$12,D53-E53,"")</f>
        <v/>
      </c>
      <c r="G53" s="5" t="str">
        <f>IF(35&lt;=$D$12,MAX(0,C53-F53),"")</f>
        <v/>
      </c>
    </row>
    <row r="54" spans="1:7" x14ac:dyDescent="0.25">
      <c r="A54" s="3" t="str">
        <f>IF(36&lt;=$D$12,36,"")</f>
        <v/>
      </c>
      <c r="B54" s="4" t="str">
        <f>IF(36&lt;=$D$12,IF($C$16="","",EDATE($C$16,36-1)),"")</f>
        <v/>
      </c>
      <c r="C54" s="5" t="str">
        <f>IF(36&lt;=$D$12,G53,"")</f>
        <v/>
      </c>
      <c r="D54" s="5" t="str">
        <f t="shared" si="0"/>
        <v/>
      </c>
      <c r="E54" s="5" t="str">
        <f t="shared" si="1"/>
        <v/>
      </c>
      <c r="F54" s="5" t="str">
        <f>IF(36&lt;=$D$12,D54-E54,"")</f>
        <v/>
      </c>
      <c r="G54" s="5" t="str">
        <f>IF(36&lt;=$D$12,MAX(0,C54-F54),"")</f>
        <v/>
      </c>
    </row>
    <row r="55" spans="1:7" x14ac:dyDescent="0.25">
      <c r="A55" s="3" t="str">
        <f>IF(37&lt;=$D$12,37,"")</f>
        <v/>
      </c>
      <c r="B55" s="4" t="str">
        <f>IF(37&lt;=$D$12,IF($C$16="","",EDATE($C$16,37-1)),"")</f>
        <v/>
      </c>
      <c r="C55" s="5" t="str">
        <f>IF(37&lt;=$D$12,G54,"")</f>
        <v/>
      </c>
      <c r="D55" s="5" t="str">
        <f>IF(37&lt;=$D$12,$F$12,"")</f>
        <v/>
      </c>
      <c r="E55" s="5" t="str">
        <f>IF(37&lt;=$D$12,C55*($E$12/12),"")</f>
        <v/>
      </c>
      <c r="F55" s="5" t="str">
        <f>IF(37&lt;=$D$12,D55-E55,"")</f>
        <v/>
      </c>
      <c r="G55" s="5" t="str">
        <f>IF(37&lt;=$D$12,MAX(0,C55-F55),"")</f>
        <v/>
      </c>
    </row>
    <row r="56" spans="1:7" x14ac:dyDescent="0.25">
      <c r="A56" s="3" t="str">
        <f>IF(38&lt;=$D$12,38,"")</f>
        <v/>
      </c>
      <c r="B56" s="4" t="str">
        <f>IF(38&lt;=$D$12,IF($C$16="","",EDATE($C$16,38-1)),"")</f>
        <v/>
      </c>
      <c r="C56" s="5" t="str">
        <f>IF(38&lt;=$D$12,G55,"")</f>
        <v/>
      </c>
      <c r="D56" s="5" t="str">
        <f>IF(38&lt;=$D$12,$F$12,"")</f>
        <v/>
      </c>
      <c r="E56" s="5" t="str">
        <f>IF(38&lt;=$D$12,C56*($E$12/12),"")</f>
        <v/>
      </c>
      <c r="F56" s="5" t="str">
        <f>IF(38&lt;=$D$12,D56-E56,"")</f>
        <v/>
      </c>
      <c r="G56" s="5" t="str">
        <f>IF(38&lt;=$D$12,MAX(0,C56-F56),"")</f>
        <v/>
      </c>
    </row>
    <row r="57" spans="1:7" x14ac:dyDescent="0.25">
      <c r="A57" s="3" t="str">
        <f>IF(39&lt;=$D$12,39,"")</f>
        <v/>
      </c>
      <c r="B57" s="4" t="str">
        <f>IF(39&lt;=$D$12,IF($C$16="","",EDATE($C$16,39-1)),"")</f>
        <v/>
      </c>
      <c r="C57" s="5" t="str">
        <f>IF(39&lt;=$D$12,G56,"")</f>
        <v/>
      </c>
      <c r="D57" s="5" t="str">
        <f>IF(39&lt;=$D$12,$F$12,"")</f>
        <v/>
      </c>
      <c r="E57" s="5" t="str">
        <f>IF(39&lt;=$D$12,C57*($E$12/12),"")</f>
        <v/>
      </c>
      <c r="F57" s="5" t="str">
        <f>IF(39&lt;=$D$12,D57-E57,"")</f>
        <v/>
      </c>
      <c r="G57" s="5" t="str">
        <f>IF(39&lt;=$D$12,MAX(0,C57-F57),"")</f>
        <v/>
      </c>
    </row>
    <row r="58" spans="1:7" x14ac:dyDescent="0.25">
      <c r="A58" s="3" t="str">
        <f>IF(40&lt;=$D$12,40,"")</f>
        <v/>
      </c>
      <c r="B58" s="4" t="str">
        <f>IF(40&lt;=$D$12,IF($C$16="","",EDATE($C$16,40-1)),"")</f>
        <v/>
      </c>
      <c r="C58" s="5" t="str">
        <f>IF(40&lt;=$D$12,G57,"")</f>
        <v/>
      </c>
      <c r="D58" s="5" t="str">
        <f>IF(40&lt;=$D$12,$F$12,"")</f>
        <v/>
      </c>
      <c r="E58" s="5" t="str">
        <f>IF(40&lt;=$D$12,C58*($E$12/12),"")</f>
        <v/>
      </c>
      <c r="F58" s="5" t="str">
        <f>IF(40&lt;=$D$12,D58-E58,"")</f>
        <v/>
      </c>
      <c r="G58" s="5" t="str">
        <f>IF(40&lt;=$D$12,MAX(0,C58-F58),"")</f>
        <v/>
      </c>
    </row>
    <row r="59" spans="1:7" x14ac:dyDescent="0.25">
      <c r="A59" s="3" t="str">
        <f>IF(41&lt;=$D$12,41,"")</f>
        <v/>
      </c>
      <c r="B59" s="4" t="str">
        <f>IF(41&lt;=$D$12,IF($C$16="","",EDATE($C$16,41-1)),"")</f>
        <v/>
      </c>
      <c r="C59" s="5" t="str">
        <f>IF(41&lt;=$D$12,G58,"")</f>
        <v/>
      </c>
      <c r="D59" s="5" t="str">
        <f>IF(41&lt;=$D$12,$F$12,"")</f>
        <v/>
      </c>
      <c r="E59" s="5" t="str">
        <f>IF(41&lt;=$D$12,C59*($E$12/12),"")</f>
        <v/>
      </c>
      <c r="F59" s="5" t="str">
        <f>IF(41&lt;=$D$12,D59-E59,"")</f>
        <v/>
      </c>
      <c r="G59" s="5" t="str">
        <f>IF(41&lt;=$D$12,MAX(0,C59-F59),"")</f>
        <v/>
      </c>
    </row>
    <row r="60" spans="1:7" x14ac:dyDescent="0.25">
      <c r="A60" s="3" t="str">
        <f>IF(42&lt;=$D$12,42,"")</f>
        <v/>
      </c>
      <c r="B60" s="4" t="str">
        <f>IF(42&lt;=$D$12,IF($C$16="","",EDATE($C$16,42-1)),"")</f>
        <v/>
      </c>
      <c r="C60" s="5" t="str">
        <f>IF(42&lt;=$D$12,G59,"")</f>
        <v/>
      </c>
      <c r="D60" s="5" t="str">
        <f>IF(42&lt;=$D$12,$F$12,"")</f>
        <v/>
      </c>
      <c r="E60" s="5" t="str">
        <f>IF(42&lt;=$D$12,C60*($E$12/12),"")</f>
        <v/>
      </c>
      <c r="F60" s="5" t="str">
        <f>IF(42&lt;=$D$12,D60-E60,"")</f>
        <v/>
      </c>
      <c r="G60" s="5" t="str">
        <f>IF(42&lt;=$D$12,MAX(0,C60-F60),"")</f>
        <v/>
      </c>
    </row>
    <row r="61" spans="1:7" x14ac:dyDescent="0.25">
      <c r="A61" s="3" t="str">
        <f>IF(43&lt;=$D$12,43,"")</f>
        <v/>
      </c>
      <c r="B61" s="4" t="str">
        <f>IF(43&lt;=$D$12,IF($C$16="","",EDATE($C$16,43-1)),"")</f>
        <v/>
      </c>
      <c r="C61" s="5" t="str">
        <f>IF(43&lt;=$D$12,G60,"")</f>
        <v/>
      </c>
      <c r="D61" s="5" t="str">
        <f>IF(43&lt;=$D$12,$F$12,"")</f>
        <v/>
      </c>
      <c r="E61" s="5" t="str">
        <f>IF(43&lt;=$D$12,C61*($E$12/12),"")</f>
        <v/>
      </c>
      <c r="F61" s="5" t="str">
        <f>IF(43&lt;=$D$12,D61-E61,"")</f>
        <v/>
      </c>
      <c r="G61" s="5" t="str">
        <f>IF(43&lt;=$D$12,MAX(0,C61-F61),"")</f>
        <v/>
      </c>
    </row>
    <row r="62" spans="1:7" x14ac:dyDescent="0.25">
      <c r="A62" s="3" t="str">
        <f>IF(44&lt;=$D$12,44,"")</f>
        <v/>
      </c>
      <c r="B62" s="4" t="str">
        <f>IF(44&lt;=$D$12,IF($C$16="","",EDATE($C$16,44-1)),"")</f>
        <v/>
      </c>
      <c r="C62" s="5" t="str">
        <f>IF(44&lt;=$D$12,G61,"")</f>
        <v/>
      </c>
      <c r="D62" s="5" t="str">
        <f>IF(44&lt;=$D$12,$F$12,"")</f>
        <v/>
      </c>
      <c r="E62" s="5" t="str">
        <f>IF(44&lt;=$D$12,C62*($E$12/12),"")</f>
        <v/>
      </c>
      <c r="F62" s="5" t="str">
        <f>IF(44&lt;=$D$12,D62-E62,"")</f>
        <v/>
      </c>
      <c r="G62" s="5" t="str">
        <f>IF(44&lt;=$D$12,MAX(0,C62-F62),"")</f>
        <v/>
      </c>
    </row>
    <row r="63" spans="1:7" x14ac:dyDescent="0.25">
      <c r="A63" s="3" t="str">
        <f>IF(45&lt;=$D$12,45,"")</f>
        <v/>
      </c>
      <c r="B63" s="4" t="str">
        <f>IF(45&lt;=$D$12,IF($C$16="","",EDATE($C$16,45-1)),"")</f>
        <v/>
      </c>
      <c r="C63" s="5" t="str">
        <f>IF(45&lt;=$D$12,G62,"")</f>
        <v/>
      </c>
      <c r="D63" s="5" t="str">
        <f>IF(45&lt;=$D$12,$F$12,"")</f>
        <v/>
      </c>
      <c r="E63" s="5" t="str">
        <f>IF(45&lt;=$D$12,C63*($E$12/12),"")</f>
        <v/>
      </c>
      <c r="F63" s="5" t="str">
        <f>IF(45&lt;=$D$12,D63-E63,"")</f>
        <v/>
      </c>
      <c r="G63" s="5" t="str">
        <f>IF(45&lt;=$D$12,MAX(0,C63-F63),"")</f>
        <v/>
      </c>
    </row>
    <row r="64" spans="1:7" x14ac:dyDescent="0.25">
      <c r="A64" s="3" t="str">
        <f>IF(46&lt;=$D$12,46,"")</f>
        <v/>
      </c>
      <c r="B64" s="4" t="str">
        <f>IF(46&lt;=$D$12,IF($C$16="","",EDATE($C$16,46-1)),"")</f>
        <v/>
      </c>
      <c r="C64" s="5" t="str">
        <f>IF(46&lt;=$D$12,G63,"")</f>
        <v/>
      </c>
      <c r="D64" s="5" t="str">
        <f>IF(46&lt;=$D$12,$F$12,"")</f>
        <v/>
      </c>
      <c r="E64" s="5" t="str">
        <f>IF(46&lt;=$D$12,C64*($E$12/12),"")</f>
        <v/>
      </c>
      <c r="F64" s="5" t="str">
        <f>IF(46&lt;=$D$12,D64-E64,"")</f>
        <v/>
      </c>
      <c r="G64" s="5" t="str">
        <f>IF(46&lt;=$D$12,MAX(0,C64-F64),"")</f>
        <v/>
      </c>
    </row>
    <row r="65" spans="1:7" x14ac:dyDescent="0.25">
      <c r="A65" s="3" t="str">
        <f>IF(47&lt;=$D$12,47,"")</f>
        <v/>
      </c>
      <c r="B65" s="4" t="str">
        <f>IF(47&lt;=$D$12,IF($C$16="","",EDATE($C$16,47-1)),"")</f>
        <v/>
      </c>
      <c r="C65" s="5" t="str">
        <f>IF(47&lt;=$D$12,G64,"")</f>
        <v/>
      </c>
      <c r="D65" s="5" t="str">
        <f>IF(47&lt;=$D$12,$F$12,"")</f>
        <v/>
      </c>
      <c r="E65" s="5" t="str">
        <f>IF(47&lt;=$D$12,C65*($E$12/12),"")</f>
        <v/>
      </c>
      <c r="F65" s="5" t="str">
        <f>IF(47&lt;=$D$12,D65-E65,"")</f>
        <v/>
      </c>
      <c r="G65" s="5" t="str">
        <f>IF(47&lt;=$D$12,MAX(0,C65-F65),"")</f>
        <v/>
      </c>
    </row>
    <row r="66" spans="1:7" x14ac:dyDescent="0.25">
      <c r="A66" s="3" t="str">
        <f>IF(48&lt;=$D$12,48,"")</f>
        <v/>
      </c>
      <c r="B66" s="4" t="str">
        <f>IF(48&lt;=$D$12,IF($C$16="","",EDATE($C$16,48-1)),"")</f>
        <v/>
      </c>
      <c r="C66" s="5" t="str">
        <f>IF(48&lt;=$D$12,G65,"")</f>
        <v/>
      </c>
      <c r="D66" s="5" t="str">
        <f>IF(48&lt;=$D$12,$F$12,"")</f>
        <v/>
      </c>
      <c r="E66" s="5" t="str">
        <f>IF(48&lt;=$D$12,C66*($E$12/12),"")</f>
        <v/>
      </c>
      <c r="F66" s="5" t="str">
        <f>IF(48&lt;=$D$12,D66-E66,"")</f>
        <v/>
      </c>
      <c r="G66" s="5" t="str">
        <f>IF(48&lt;=$D$12,MAX(0,C66-F66),"")</f>
        <v/>
      </c>
    </row>
    <row r="67" spans="1:7" x14ac:dyDescent="0.25">
      <c r="A67" s="3" t="str">
        <f>IF(49&lt;=$D$12,49,"")</f>
        <v/>
      </c>
      <c r="B67" s="4" t="str">
        <f>IF(49&lt;=$D$12,IF($C$16="","",EDATE($C$16,49-1)),"")</f>
        <v/>
      </c>
      <c r="C67" s="5" t="str">
        <f>IF(49&lt;=$D$12,G66,"")</f>
        <v/>
      </c>
      <c r="D67" s="5" t="str">
        <f>IF(49&lt;=$D$12,$F$12,"")</f>
        <v/>
      </c>
      <c r="E67" s="5" t="str">
        <f>IF(49&lt;=$D$12,C67*($E$12/12),"")</f>
        <v/>
      </c>
      <c r="F67" s="5" t="str">
        <f>IF(49&lt;=$D$12,D67-E67,"")</f>
        <v/>
      </c>
      <c r="G67" s="5" t="str">
        <f>IF(49&lt;=$D$12,MAX(0,C67-F67),"")</f>
        <v/>
      </c>
    </row>
    <row r="68" spans="1:7" x14ac:dyDescent="0.25">
      <c r="A68" s="3" t="str">
        <f>IF(50&lt;=$D$12,50,"")</f>
        <v/>
      </c>
      <c r="B68" s="4" t="str">
        <f>IF(50&lt;=$D$12,IF($C$16="","",EDATE($C$16,50-1)),"")</f>
        <v/>
      </c>
      <c r="C68" s="5" t="str">
        <f>IF(50&lt;=$D$12,G67,"")</f>
        <v/>
      </c>
      <c r="D68" s="5" t="str">
        <f>IF(50&lt;=$D$12,$F$12,"")</f>
        <v/>
      </c>
      <c r="E68" s="5" t="str">
        <f>IF(50&lt;=$D$12,C68*($E$12/12),"")</f>
        <v/>
      </c>
      <c r="F68" s="5" t="str">
        <f>IF(50&lt;=$D$12,D68-E68,"")</f>
        <v/>
      </c>
      <c r="G68" s="5" t="str">
        <f>IF(50&lt;=$D$12,MAX(0,C68-F68),"")</f>
        <v/>
      </c>
    </row>
    <row r="69" spans="1:7" x14ac:dyDescent="0.25">
      <c r="A69" s="3" t="str">
        <f>IF(51&lt;=$D$12,51,"")</f>
        <v/>
      </c>
      <c r="B69" s="4" t="str">
        <f>IF(51&lt;=$D$12,IF($C$16="","",EDATE($C$16,51-1)),"")</f>
        <v/>
      </c>
      <c r="C69" s="5" t="str">
        <f>IF(51&lt;=$D$12,G68,"")</f>
        <v/>
      </c>
      <c r="D69" s="5" t="str">
        <f>IF(51&lt;=$D$12,$F$12,"")</f>
        <v/>
      </c>
      <c r="E69" s="5" t="str">
        <f>IF(51&lt;=$D$12,C69*($E$12/12),"")</f>
        <v/>
      </c>
      <c r="F69" s="5" t="str">
        <f>IF(51&lt;=$D$12,D69-E69,"")</f>
        <v/>
      </c>
      <c r="G69" s="5" t="str">
        <f>IF(51&lt;=$D$12,MAX(0,C69-F69),"")</f>
        <v/>
      </c>
    </row>
    <row r="70" spans="1:7" x14ac:dyDescent="0.25">
      <c r="A70" s="3" t="str">
        <f>IF(52&lt;=$D$12,52,"")</f>
        <v/>
      </c>
      <c r="B70" s="4" t="str">
        <f>IF(52&lt;=$D$12,IF($C$16="","",EDATE($C$16,52-1)),"")</f>
        <v/>
      </c>
      <c r="C70" s="5" t="str">
        <f>IF(52&lt;=$D$12,G69,"")</f>
        <v/>
      </c>
      <c r="D70" s="5" t="str">
        <f>IF(52&lt;=$D$12,$F$12,"")</f>
        <v/>
      </c>
      <c r="E70" s="5" t="str">
        <f>IF(52&lt;=$D$12,C70*($E$12/12),"")</f>
        <v/>
      </c>
      <c r="F70" s="5" t="str">
        <f>IF(52&lt;=$D$12,D70-E70,"")</f>
        <v/>
      </c>
      <c r="G70" s="5" t="str">
        <f>IF(52&lt;=$D$12,MAX(0,C70-F70),"")</f>
        <v/>
      </c>
    </row>
    <row r="71" spans="1:7" x14ac:dyDescent="0.25">
      <c r="A71" s="3" t="str">
        <f>IF(53&lt;=$D$12,53,"")</f>
        <v/>
      </c>
      <c r="B71" s="4" t="str">
        <f>IF(53&lt;=$D$12,IF($C$16="","",EDATE($C$16,53-1)),"")</f>
        <v/>
      </c>
      <c r="C71" s="5" t="str">
        <f>IF(53&lt;=$D$12,G70,"")</f>
        <v/>
      </c>
      <c r="D71" s="5" t="str">
        <f>IF(53&lt;=$D$12,$F$12,"")</f>
        <v/>
      </c>
      <c r="E71" s="5" t="str">
        <f>IF(53&lt;=$D$12,C71*($E$12/12),"")</f>
        <v/>
      </c>
      <c r="F71" s="5" t="str">
        <f>IF(53&lt;=$D$12,D71-E71,"")</f>
        <v/>
      </c>
      <c r="G71" s="5" t="str">
        <f>IF(53&lt;=$D$12,MAX(0,C71-F71),"")</f>
        <v/>
      </c>
    </row>
    <row r="72" spans="1:7" x14ac:dyDescent="0.25">
      <c r="A72" s="3" t="str">
        <f>IF(54&lt;=$D$12,54,"")</f>
        <v/>
      </c>
      <c r="B72" s="4" t="str">
        <f>IF(54&lt;=$D$12,IF($C$16="","",EDATE($C$16,54-1)),"")</f>
        <v/>
      </c>
      <c r="C72" s="5" t="str">
        <f>IF(54&lt;=$D$12,G71,"")</f>
        <v/>
      </c>
      <c r="D72" s="5" t="str">
        <f>IF(54&lt;=$D$12,$F$12,"")</f>
        <v/>
      </c>
      <c r="E72" s="5" t="str">
        <f>IF(54&lt;=$D$12,C72*($E$12/12),"")</f>
        <v/>
      </c>
      <c r="F72" s="5" t="str">
        <f>IF(54&lt;=$D$12,D72-E72,"")</f>
        <v/>
      </c>
      <c r="G72" s="5" t="str">
        <f>IF(54&lt;=$D$12,MAX(0,C72-F72),"")</f>
        <v/>
      </c>
    </row>
    <row r="73" spans="1:7" x14ac:dyDescent="0.25">
      <c r="A73" s="3" t="str">
        <f>IF(55&lt;=$D$12,55,"")</f>
        <v/>
      </c>
      <c r="B73" s="4" t="str">
        <f>IF(55&lt;=$D$12,IF($C$16="","",EDATE($C$16,55-1)),"")</f>
        <v/>
      </c>
      <c r="C73" s="5" t="str">
        <f>IF(55&lt;=$D$12,G72,"")</f>
        <v/>
      </c>
      <c r="D73" s="5" t="str">
        <f>IF(55&lt;=$D$12,$F$12,"")</f>
        <v/>
      </c>
      <c r="E73" s="5" t="str">
        <f>IF(55&lt;=$D$12,C73*($E$12/12),"")</f>
        <v/>
      </c>
      <c r="F73" s="5" t="str">
        <f>IF(55&lt;=$D$12,D73-E73,"")</f>
        <v/>
      </c>
      <c r="G73" s="5" t="str">
        <f>IF(55&lt;=$D$12,MAX(0,C73-F73),"")</f>
        <v/>
      </c>
    </row>
    <row r="74" spans="1:7" x14ac:dyDescent="0.25">
      <c r="A74" s="3" t="str">
        <f>IF(56&lt;=$D$12,56,"")</f>
        <v/>
      </c>
      <c r="B74" s="4" t="str">
        <f>IF(56&lt;=$D$12,IF($C$16="","",EDATE($C$16,56-1)),"")</f>
        <v/>
      </c>
      <c r="C74" s="5" t="str">
        <f>IF(56&lt;=$D$12,G73,"")</f>
        <v/>
      </c>
      <c r="D74" s="5" t="str">
        <f>IF(56&lt;=$D$12,$F$12,"")</f>
        <v/>
      </c>
      <c r="E74" s="5" t="str">
        <f>IF(56&lt;=$D$12,C74*($E$12/12),"")</f>
        <v/>
      </c>
      <c r="F74" s="5" t="str">
        <f>IF(56&lt;=$D$12,D74-E74,"")</f>
        <v/>
      </c>
      <c r="G74" s="5" t="str">
        <f>IF(56&lt;=$D$12,MAX(0,C74-F74),"")</f>
        <v/>
      </c>
    </row>
    <row r="75" spans="1:7" x14ac:dyDescent="0.25">
      <c r="A75" s="3" t="str">
        <f>IF(57&lt;=$D$12,57,"")</f>
        <v/>
      </c>
      <c r="B75" s="4" t="str">
        <f>IF(57&lt;=$D$12,IF($C$16="","",EDATE($C$16,57-1)),"")</f>
        <v/>
      </c>
      <c r="C75" s="5" t="str">
        <f>IF(57&lt;=$D$12,G74,"")</f>
        <v/>
      </c>
      <c r="D75" s="5" t="str">
        <f>IF(57&lt;=$D$12,$F$12,"")</f>
        <v/>
      </c>
      <c r="E75" s="5" t="str">
        <f>IF(57&lt;=$D$12,C75*($E$12/12),"")</f>
        <v/>
      </c>
      <c r="F75" s="5" t="str">
        <f>IF(57&lt;=$D$12,D75-E75,"")</f>
        <v/>
      </c>
      <c r="G75" s="5" t="str">
        <f>IF(57&lt;=$D$12,MAX(0,C75-F75),"")</f>
        <v/>
      </c>
    </row>
    <row r="76" spans="1:7" x14ac:dyDescent="0.25">
      <c r="A76" s="3" t="str">
        <f>IF(58&lt;=$D$12,58,"")</f>
        <v/>
      </c>
      <c r="B76" s="4" t="str">
        <f>IF(58&lt;=$D$12,IF($C$16="","",EDATE($C$16,58-1)),"")</f>
        <v/>
      </c>
      <c r="C76" s="5" t="str">
        <f>IF(58&lt;=$D$12,G75,"")</f>
        <v/>
      </c>
      <c r="D76" s="5" t="str">
        <f>IF(58&lt;=$D$12,$F$12,"")</f>
        <v/>
      </c>
      <c r="E76" s="5" t="str">
        <f>IF(58&lt;=$D$12,C76*($E$12/12),"")</f>
        <v/>
      </c>
      <c r="F76" s="5" t="str">
        <f>IF(58&lt;=$D$12,D76-E76,"")</f>
        <v/>
      </c>
      <c r="G76" s="5" t="str">
        <f>IF(58&lt;=$D$12,MAX(0,C76-F76),"")</f>
        <v/>
      </c>
    </row>
    <row r="77" spans="1:7" x14ac:dyDescent="0.25">
      <c r="A77" s="3" t="str">
        <f>IF(59&lt;=$D$12,59,"")</f>
        <v/>
      </c>
      <c r="B77" s="4" t="str">
        <f>IF(59&lt;=$D$12,IF($C$16="","",EDATE($C$16,59-1)),"")</f>
        <v/>
      </c>
      <c r="C77" s="5" t="str">
        <f>IF(59&lt;=$D$12,G76,"")</f>
        <v/>
      </c>
      <c r="D77" s="5" t="str">
        <f>IF(59&lt;=$D$12,$F$12,"")</f>
        <v/>
      </c>
      <c r="E77" s="5" t="str">
        <f>IF(59&lt;=$D$12,C77*($E$12/12),"")</f>
        <v/>
      </c>
      <c r="F77" s="5" t="str">
        <f>IF(59&lt;=$D$12,D77-E77,"")</f>
        <v/>
      </c>
      <c r="G77" s="5" t="str">
        <f>IF(59&lt;=$D$12,MAX(0,C77-F77),"")</f>
        <v/>
      </c>
    </row>
    <row r="78" spans="1:7" x14ac:dyDescent="0.25">
      <c r="A78" s="3" t="str">
        <f>IF(60&lt;=$D$12,60,"")</f>
        <v/>
      </c>
      <c r="B78" s="4" t="str">
        <f>IF(60&lt;=$D$12,IF($C$16="","",EDATE($C$16,60-1)),"")</f>
        <v/>
      </c>
      <c r="C78" s="5" t="str">
        <f>IF(60&lt;=$D$12,G77,"")</f>
        <v/>
      </c>
      <c r="D78" s="5" t="str">
        <f>IF(60&lt;=$D$12,$F$12,"")</f>
        <v/>
      </c>
      <c r="E78" s="5" t="str">
        <f>IF(60&lt;=$D$12,C78*($E$12/12),"")</f>
        <v/>
      </c>
      <c r="F78" s="5" t="str">
        <f>IF(60&lt;=$D$12,D78-E78,"")</f>
        <v/>
      </c>
      <c r="G78" s="5" t="str">
        <f>IF(60&lt;=$D$12,MAX(0,C78-F78),"")</f>
        <v/>
      </c>
    </row>
    <row r="79" spans="1:7" x14ac:dyDescent="0.25">
      <c r="A79" s="3" t="str">
        <f>IF(61&lt;=$D$12,61,"")</f>
        <v/>
      </c>
      <c r="B79" s="4" t="str">
        <f>IF(61&lt;=$D$12,IF($C$16="","",EDATE($C$16,61-1)),"")</f>
        <v/>
      </c>
      <c r="C79" s="5" t="str">
        <f>IF(61&lt;=$D$12,G78,"")</f>
        <v/>
      </c>
      <c r="D79" s="5" t="str">
        <f>IF(61&lt;=$D$12,$F$12,"")</f>
        <v/>
      </c>
      <c r="E79" s="5" t="str">
        <f>IF(61&lt;=$D$12,C79*($E$12/12),"")</f>
        <v/>
      </c>
      <c r="F79" s="5" t="str">
        <f>IF(61&lt;=$D$12,D79-E79,"")</f>
        <v/>
      </c>
      <c r="G79" s="5" t="str">
        <f>IF(61&lt;=$D$12,MAX(0,C79-F79),"")</f>
        <v/>
      </c>
    </row>
    <row r="80" spans="1:7" x14ac:dyDescent="0.25">
      <c r="A80" s="3" t="str">
        <f>IF(62&lt;=$D$12,62,"")</f>
        <v/>
      </c>
      <c r="B80" s="4" t="str">
        <f>IF(62&lt;=$D$12,IF($C$16="","",EDATE($C$16,62-1)),"")</f>
        <v/>
      </c>
      <c r="C80" s="5" t="str">
        <f>IF(62&lt;=$D$12,G79,"")</f>
        <v/>
      </c>
      <c r="D80" s="5" t="str">
        <f>IF(62&lt;=$D$12,$F$12,"")</f>
        <v/>
      </c>
      <c r="E80" s="5" t="str">
        <f>IF(62&lt;=$D$12,C80*($E$12/12),"")</f>
        <v/>
      </c>
      <c r="F80" s="5" t="str">
        <f>IF(62&lt;=$D$12,D80-E80,"")</f>
        <v/>
      </c>
      <c r="G80" s="5" t="str">
        <f>IF(62&lt;=$D$12,MAX(0,C80-F80),"")</f>
        <v/>
      </c>
    </row>
    <row r="81" spans="1:7" x14ac:dyDescent="0.25">
      <c r="A81" s="3" t="str">
        <f>IF(63&lt;=$D$12,63,"")</f>
        <v/>
      </c>
      <c r="B81" s="4" t="str">
        <f>IF(63&lt;=$D$12,IF($C$16="","",EDATE($C$16,63-1)),"")</f>
        <v/>
      </c>
      <c r="C81" s="5" t="str">
        <f>IF(63&lt;=$D$12,G80,"")</f>
        <v/>
      </c>
      <c r="D81" s="5" t="str">
        <f>IF(63&lt;=$D$12,$F$12,"")</f>
        <v/>
      </c>
      <c r="E81" s="5" t="str">
        <f>IF(63&lt;=$D$12,C81*($E$12/12),"")</f>
        <v/>
      </c>
      <c r="F81" s="5" t="str">
        <f>IF(63&lt;=$D$12,D81-E81,"")</f>
        <v/>
      </c>
      <c r="G81" s="5" t="str">
        <f>IF(63&lt;=$D$12,MAX(0,C81-F81),"")</f>
        <v/>
      </c>
    </row>
    <row r="82" spans="1:7" x14ac:dyDescent="0.25">
      <c r="A82" s="3" t="str">
        <f>IF(64&lt;=$D$12,64,"")</f>
        <v/>
      </c>
      <c r="B82" s="4" t="str">
        <f>IF(64&lt;=$D$12,IF($C$16="","",EDATE($C$16,64-1)),"")</f>
        <v/>
      </c>
      <c r="C82" s="5" t="str">
        <f>IF(64&lt;=$D$12,G81,"")</f>
        <v/>
      </c>
      <c r="D82" s="5" t="str">
        <f>IF(64&lt;=$D$12,$F$12,"")</f>
        <v/>
      </c>
      <c r="E82" s="5" t="str">
        <f>IF(64&lt;=$D$12,C82*($E$12/12),"")</f>
        <v/>
      </c>
      <c r="F82" s="5" t="str">
        <f>IF(64&lt;=$D$12,D82-E82,"")</f>
        <v/>
      </c>
      <c r="G82" s="5" t="str">
        <f>IF(64&lt;=$D$12,MAX(0,C82-F82),"")</f>
        <v/>
      </c>
    </row>
    <row r="83" spans="1:7" x14ac:dyDescent="0.25">
      <c r="A83" s="3" t="str">
        <f>IF(65&lt;=$D$12,65,"")</f>
        <v/>
      </c>
      <c r="B83" s="4" t="str">
        <f>IF(65&lt;=$D$12,IF($C$16="","",EDATE($C$16,65-1)),"")</f>
        <v/>
      </c>
      <c r="C83" s="5" t="str">
        <f>IF(65&lt;=$D$12,G82,"")</f>
        <v/>
      </c>
      <c r="D83" s="5" t="str">
        <f>IF(65&lt;=$D$12,$F$12,"")</f>
        <v/>
      </c>
      <c r="E83" s="5" t="str">
        <f>IF(65&lt;=$D$12,C83*($E$12/12),"")</f>
        <v/>
      </c>
      <c r="F83" s="5" t="str">
        <f>IF(65&lt;=$D$12,D83-E83,"")</f>
        <v/>
      </c>
      <c r="G83" s="5" t="str">
        <f>IF(65&lt;=$D$12,MAX(0,C83-F83),"")</f>
        <v/>
      </c>
    </row>
    <row r="84" spans="1:7" x14ac:dyDescent="0.25">
      <c r="A84" s="3" t="str">
        <f>IF(66&lt;=$D$12,66,"")</f>
        <v/>
      </c>
      <c r="B84" s="4" t="str">
        <f>IF(66&lt;=$D$12,IF($C$16="","",EDATE($C$16,66-1)),"")</f>
        <v/>
      </c>
      <c r="C84" s="5" t="str">
        <f>IF(66&lt;=$D$12,G83,"")</f>
        <v/>
      </c>
      <c r="D84" s="5" t="str">
        <f>IF(66&lt;=$D$12,$F$12,"")</f>
        <v/>
      </c>
      <c r="E84" s="5" t="str">
        <f>IF(66&lt;=$D$12,C84*($E$12/12),"")</f>
        <v/>
      </c>
      <c r="F84" s="5" t="str">
        <f>IF(66&lt;=$D$12,D84-E84,"")</f>
        <v/>
      </c>
      <c r="G84" s="5" t="str">
        <f>IF(66&lt;=$D$12,MAX(0,C84-F84),"")</f>
        <v/>
      </c>
    </row>
    <row r="85" spans="1:7" x14ac:dyDescent="0.25">
      <c r="A85" s="3" t="str">
        <f>IF(67&lt;=$D$12,67,"")</f>
        <v/>
      </c>
      <c r="B85" s="4" t="str">
        <f>IF(67&lt;=$D$12,IF($C$16="","",EDATE($C$16,67-1)),"")</f>
        <v/>
      </c>
      <c r="C85" s="5" t="str">
        <f>IF(67&lt;=$D$12,G84,"")</f>
        <v/>
      </c>
      <c r="D85" s="5" t="str">
        <f>IF(67&lt;=$D$12,$F$12,"")</f>
        <v/>
      </c>
      <c r="E85" s="5" t="str">
        <f>IF(67&lt;=$D$12,C85*($E$12/12),"")</f>
        <v/>
      </c>
      <c r="F85" s="5" t="str">
        <f>IF(67&lt;=$D$12,D85-E85,"")</f>
        <v/>
      </c>
      <c r="G85" s="5" t="str">
        <f>IF(67&lt;=$D$12,MAX(0,C85-F85),"")</f>
        <v/>
      </c>
    </row>
    <row r="86" spans="1:7" x14ac:dyDescent="0.25">
      <c r="A86" s="3" t="str">
        <f>IF(68&lt;=$D$12,68,"")</f>
        <v/>
      </c>
      <c r="B86" s="4" t="str">
        <f>IF(68&lt;=$D$12,IF($C$16="","",EDATE($C$16,68-1)),"")</f>
        <v/>
      </c>
      <c r="C86" s="5" t="str">
        <f>IF(68&lt;=$D$12,G85,"")</f>
        <v/>
      </c>
      <c r="D86" s="5" t="str">
        <f>IF(68&lt;=$D$12,$F$12,"")</f>
        <v/>
      </c>
      <c r="E86" s="5" t="str">
        <f>IF(68&lt;=$D$12,C86*($E$12/12),"")</f>
        <v/>
      </c>
      <c r="F86" s="5" t="str">
        <f>IF(68&lt;=$D$12,D86-E86,"")</f>
        <v/>
      </c>
      <c r="G86" s="5" t="str">
        <f>IF(68&lt;=$D$12,MAX(0,C86-F86),"")</f>
        <v/>
      </c>
    </row>
    <row r="87" spans="1:7" x14ac:dyDescent="0.25">
      <c r="A87" s="3" t="str">
        <f>IF(69&lt;=$D$12,69,"")</f>
        <v/>
      </c>
      <c r="B87" s="4" t="str">
        <f>IF(69&lt;=$D$12,IF($C$16="","",EDATE($C$16,69-1)),"")</f>
        <v/>
      </c>
      <c r="C87" s="5" t="str">
        <f>IF(69&lt;=$D$12,G86,"")</f>
        <v/>
      </c>
      <c r="D87" s="5" t="str">
        <f>IF(69&lt;=$D$12,$F$12,"")</f>
        <v/>
      </c>
      <c r="E87" s="5" t="str">
        <f>IF(69&lt;=$D$12,C87*($E$12/12),"")</f>
        <v/>
      </c>
      <c r="F87" s="5" t="str">
        <f>IF(69&lt;=$D$12,D87-E87,"")</f>
        <v/>
      </c>
      <c r="G87" s="5" t="str">
        <f>IF(69&lt;=$D$12,MAX(0,C87-F87),"")</f>
        <v/>
      </c>
    </row>
    <row r="88" spans="1:7" x14ac:dyDescent="0.25">
      <c r="A88" s="3" t="str">
        <f>IF(70&lt;=$D$12,70,"")</f>
        <v/>
      </c>
      <c r="B88" s="4" t="str">
        <f>IF(70&lt;=$D$12,IF($C$16="","",EDATE($C$16,70-1)),"")</f>
        <v/>
      </c>
      <c r="C88" s="5" t="str">
        <f>IF(70&lt;=$D$12,G87,"")</f>
        <v/>
      </c>
      <c r="D88" s="5" t="str">
        <f>IF(70&lt;=$D$12,$F$12,"")</f>
        <v/>
      </c>
      <c r="E88" s="5" t="str">
        <f>IF(70&lt;=$D$12,C88*($E$12/12),"")</f>
        <v/>
      </c>
      <c r="F88" s="5" t="str">
        <f>IF(70&lt;=$D$12,D88-E88,"")</f>
        <v/>
      </c>
      <c r="G88" s="5" t="str">
        <f>IF(70&lt;=$D$12,MAX(0,C88-F88),"")</f>
        <v/>
      </c>
    </row>
    <row r="89" spans="1:7" x14ac:dyDescent="0.25">
      <c r="A89" s="3" t="str">
        <f>IF(71&lt;=$D$12,71,"")</f>
        <v/>
      </c>
      <c r="B89" s="4" t="str">
        <f>IF(71&lt;=$D$12,IF($C$16="","",EDATE($C$16,71-1)),"")</f>
        <v/>
      </c>
      <c r="C89" s="5" t="str">
        <f>IF(71&lt;=$D$12,G88,"")</f>
        <v/>
      </c>
      <c r="D89" s="5" t="str">
        <f>IF(71&lt;=$D$12,$F$12,"")</f>
        <v/>
      </c>
      <c r="E89" s="5" t="str">
        <f>IF(71&lt;=$D$12,C89*($E$12/12),"")</f>
        <v/>
      </c>
      <c r="F89" s="5" t="str">
        <f>IF(71&lt;=$D$12,D89-E89,"")</f>
        <v/>
      </c>
      <c r="G89" s="5" t="str">
        <f>IF(71&lt;=$D$12,MAX(0,C89-F89),"")</f>
        <v/>
      </c>
    </row>
    <row r="90" spans="1:7" x14ac:dyDescent="0.25">
      <c r="A90" s="3" t="str">
        <f>IF(72&lt;=$D$12,72,"")</f>
        <v/>
      </c>
      <c r="B90" s="4" t="str">
        <f>IF(72&lt;=$D$12,IF($C$16="","",EDATE($C$16,72-1)),"")</f>
        <v/>
      </c>
      <c r="C90" s="5" t="str">
        <f>IF(72&lt;=$D$12,G89,"")</f>
        <v/>
      </c>
      <c r="D90" s="5" t="str">
        <f>IF(72&lt;=$D$12,$F$12,"")</f>
        <v/>
      </c>
      <c r="E90" s="5" t="str">
        <f>IF(72&lt;=$D$12,C90*($E$12/12),"")</f>
        <v/>
      </c>
      <c r="F90" s="5" t="str">
        <f>IF(72&lt;=$D$12,D90-E90,"")</f>
        <v/>
      </c>
      <c r="G90" s="5" t="str">
        <f>IF(72&lt;=$D$12,MAX(0,C90-F90),"")</f>
        <v/>
      </c>
    </row>
  </sheetData>
  <sheetProtection selectLockedCells="1" selectUnlockedCells="1"/>
  <mergeCells count="6">
    <mergeCell ref="A1:G2"/>
    <mergeCell ref="A5:B5"/>
    <mergeCell ref="A8:B8"/>
    <mergeCell ref="A9:B9"/>
    <mergeCell ref="C3:G3"/>
    <mergeCell ref="E9:E10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Solicitud</vt:lpstr>
      <vt:lpstr>Listas</vt:lpstr>
      <vt:lpstr>Análisis de Crédito</vt:lpstr>
      <vt:lpstr>Amortización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Deilys Fernández</cp:lastModifiedBy>
  <dcterms:created xsi:type="dcterms:W3CDTF">2026-04-16T05:40:43Z</dcterms:created>
  <dcterms:modified xsi:type="dcterms:W3CDTF">2026-04-17T04:30:25Z</dcterms:modified>
</cp:coreProperties>
</file>
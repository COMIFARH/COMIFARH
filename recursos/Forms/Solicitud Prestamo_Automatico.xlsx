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7ebd89f623bf1bd/Documentos/Comifarh/COMIFARH diciembre 2019 nuevo/Protocolo de Comifarh/"/>
    </mc:Choice>
  </mc:AlternateContent>
  <xr:revisionPtr revIDLastSave="77" documentId="8_{610F8E4D-2FBA-4231-A3AE-1277B13C480D}" xr6:coauthVersionLast="47" xr6:coauthVersionMax="47" xr10:uidLastSave="{AD640045-2FFE-461F-BCDA-97F05CE712E4}"/>
  <bookViews>
    <workbookView xWindow="-120" yWindow="-120" windowWidth="20730" windowHeight="11040" activeTab="3" xr2:uid="{00000000-000D-0000-FFFF-FFFF00000000}"/>
  </bookViews>
  <sheets>
    <sheet name="Solicitud" sheetId="1" r:id="rId1"/>
    <sheet name="Listas" sheetId="2" state="hidden" r:id="rId2"/>
    <sheet name="Análisis de Crédito" sheetId="3" r:id="rId3"/>
    <sheet name="Amortización" sheetId="4" r:id="rId4"/>
  </sheets>
  <externalReferences>
    <externalReference r:id="rId5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B16" i="3"/>
  <c r="E12" i="4"/>
  <c r="D12" i="4"/>
  <c r="C12" i="4"/>
  <c r="D5" i="4" s="1"/>
  <c r="C3" i="4"/>
  <c r="B34" i="1"/>
  <c r="B7" i="1" s="1"/>
  <c r="B20" i="3"/>
  <c r="B15" i="3"/>
  <c r="B27" i="3" s="1"/>
  <c r="B14" i="3"/>
  <c r="B13" i="3"/>
  <c r="B19" i="3" s="1"/>
  <c r="B12" i="3"/>
  <c r="B12" i="1"/>
  <c r="B10" i="1"/>
  <c r="B9" i="1"/>
  <c r="B8" i="1"/>
  <c r="B6" i="1"/>
  <c r="B29" i="4" l="1"/>
  <c r="B24" i="3"/>
  <c r="B23" i="3"/>
  <c r="A20" i="4"/>
  <c r="F12" i="4"/>
  <c r="D4" i="4"/>
  <c r="D8" i="4" s="1"/>
  <c r="D9" i="4" s="1"/>
  <c r="B25" i="4"/>
  <c r="A29" i="4"/>
  <c r="A27" i="4"/>
  <c r="B21" i="3"/>
  <c r="B22" i="3" s="1"/>
  <c r="B20" i="4"/>
  <c r="A24" i="4"/>
  <c r="B24" i="4"/>
  <c r="A28" i="4"/>
  <c r="B26" i="3"/>
  <c r="B31" i="3" s="1"/>
  <c r="A19" i="4"/>
  <c r="A21" i="4"/>
  <c r="B28" i="4"/>
  <c r="B30" i="4"/>
  <c r="B22" i="4"/>
  <c r="B21" i="4"/>
  <c r="A23" i="4"/>
  <c r="A22" i="4"/>
  <c r="B23" i="4"/>
  <c r="A30" i="4"/>
  <c r="B19" i="4"/>
  <c r="A26" i="4"/>
  <c r="B27" i="4"/>
  <c r="C19" i="4"/>
  <c r="E19" i="4" s="1"/>
  <c r="A25" i="4"/>
  <c r="B26" i="4"/>
  <c r="D23" i="4" l="1"/>
  <c r="G12" i="4"/>
  <c r="B25" i="3"/>
  <c r="D26" i="4"/>
  <c r="D27" i="4"/>
  <c r="D30" i="4"/>
  <c r="D19" i="4"/>
  <c r="F19" i="4" s="1"/>
  <c r="G19" i="4" s="1"/>
  <c r="C20" i="4" s="1"/>
  <c r="D28" i="4"/>
  <c r="D21" i="4"/>
  <c r="D24" i="4"/>
  <c r="D22" i="4"/>
  <c r="D20" i="4"/>
  <c r="D29" i="4"/>
  <c r="D25" i="4"/>
  <c r="B11" i="1"/>
  <c r="E20" i="4" l="1"/>
  <c r="F20" i="4" s="1"/>
  <c r="G20" i="4" s="1"/>
  <c r="C21" i="4" s="1"/>
  <c r="E21" i="4" l="1"/>
  <c r="F21" i="4" s="1"/>
  <c r="G21" i="4" s="1"/>
  <c r="C22" i="4" s="1"/>
  <c r="E22" i="4" l="1"/>
  <c r="F22" i="4" s="1"/>
  <c r="G22" i="4" s="1"/>
  <c r="C23" i="4" s="1"/>
  <c r="E23" i="4" l="1"/>
  <c r="F23" i="4" s="1"/>
  <c r="G23" i="4" s="1"/>
  <c r="C24" i="4" s="1"/>
  <c r="E24" i="4" l="1"/>
  <c r="F24" i="4" s="1"/>
  <c r="G24" i="4" s="1"/>
  <c r="C25" i="4" s="1"/>
  <c r="E25" i="4" l="1"/>
  <c r="F25" i="4" s="1"/>
  <c r="G25" i="4" s="1"/>
  <c r="C26" i="4" s="1"/>
  <c r="E26" i="4" l="1"/>
  <c r="F26" i="4" s="1"/>
  <c r="G26" i="4" s="1"/>
  <c r="C27" i="4" s="1"/>
  <c r="E27" i="4" l="1"/>
  <c r="F27" i="4" s="1"/>
  <c r="G27" i="4" s="1"/>
  <c r="C28" i="4" s="1"/>
  <c r="E28" i="4" l="1"/>
  <c r="F28" i="4" s="1"/>
  <c r="G28" i="4" s="1"/>
  <c r="C29" i="4" s="1"/>
  <c r="E29" i="4" l="1"/>
  <c r="F29" i="4" s="1"/>
  <c r="G29" i="4" s="1"/>
  <c r="C30" i="4" s="1"/>
  <c r="E30" i="4" l="1"/>
  <c r="F30" i="4" s="1"/>
  <c r="G30" i="4" s="1"/>
</calcChain>
</file>

<file path=xl/sharedStrings.xml><?xml version="1.0" encoding="utf-8"?>
<sst xmlns="http://schemas.openxmlformats.org/spreadsheetml/2006/main" count="169" uniqueCount="160">
  <si>
    <t>COOPERATIVA MIXTA DE FARMACÉUTICOS DE HONDURAS (COMIFARH)</t>
  </si>
  <si>
    <t>SOLICITUD DE PRÉSTAMO AUTOMÁTICO</t>
  </si>
  <si>
    <t>RESUMEN DEL CRÉDITO</t>
  </si>
  <si>
    <t>Total aportaciones (L)</t>
  </si>
  <si>
    <t>Monto máximo (90%)</t>
  </si>
  <si>
    <t>Monto solicitado (L)</t>
  </si>
  <si>
    <t>Plazo (meses)</t>
  </si>
  <si>
    <t>Tasa anual</t>
  </si>
  <si>
    <t>Cuota estimada</t>
  </si>
  <si>
    <t>Desembolso</t>
  </si>
  <si>
    <t>I. DATOS GENERALES DEL SOLICITANTE</t>
  </si>
  <si>
    <t>Fecha de solicitud</t>
  </si>
  <si>
    <t>Número de asociado</t>
  </si>
  <si>
    <t>Nombre completo</t>
  </si>
  <si>
    <t>Tipo de identificación</t>
  </si>
  <si>
    <t>Número de identificación</t>
  </si>
  <si>
    <t>Fecha de nacimiento</t>
  </si>
  <si>
    <t>Estado civil</t>
  </si>
  <si>
    <t>Dirección completa</t>
  </si>
  <si>
    <t>Departamento</t>
  </si>
  <si>
    <t>Municipio</t>
  </si>
  <si>
    <t>Teléfono</t>
  </si>
  <si>
    <t>Correo electrónico</t>
  </si>
  <si>
    <t>II. INFORMACIÓN LABORAL</t>
  </si>
  <si>
    <t>Condición laboral</t>
  </si>
  <si>
    <t>Nombre del patrono / empresa</t>
  </si>
  <si>
    <t>Cargo o actividad</t>
  </si>
  <si>
    <t>Ingreso mensual neto (L)</t>
  </si>
  <si>
    <t>III. DETALLE DEL PRÉSTAMO AUTOMÁTICO</t>
  </si>
  <si>
    <t>Total de aportaciones (L) (Obligatorias+Voluntarias)</t>
  </si>
  <si>
    <t>Monto máximo permitido (90% aportaciones) (L)</t>
  </si>
  <si>
    <t>Plazo solicitado (meses)</t>
  </si>
  <si>
    <t>Forma de pago</t>
  </si>
  <si>
    <t>Destino del crédito</t>
  </si>
  <si>
    <t>Descripción del destino</t>
  </si>
  <si>
    <t>Fecha de primer pago (opcional)</t>
  </si>
  <si>
    <t>IV. REFERENCIAS PERSONALES (No convivientes)</t>
  </si>
  <si>
    <t>Referencia 1 - Nombre</t>
  </si>
  <si>
    <t>Referencia 1 - Parentesco</t>
  </si>
  <si>
    <t>Referencia 1 - Teléfono</t>
  </si>
  <si>
    <t>Referencia 2 - Nombre</t>
  </si>
  <si>
    <t>Referencia 2 - Parentesco</t>
  </si>
  <si>
    <t>Referencia 2 - Teléfono</t>
  </si>
  <si>
    <t>V. DECLARACIÓN</t>
  </si>
  <si>
    <t>Declaro que la información proporcionada es verdadera. Entiendo que el Préstamo Automático se respalda con pagaré y su cobertura no excede el 90% de mis aportaciones.</t>
  </si>
  <si>
    <t>Lugar y fecha</t>
  </si>
  <si>
    <t>Firma del solicitante</t>
  </si>
  <si>
    <t>VI. USO EXCLUSIVO DE LA COOPERATIVA</t>
  </si>
  <si>
    <t>Número de solicitud</t>
  </si>
  <si>
    <t>Fecha de recepción</t>
  </si>
  <si>
    <t>Analista de crédito</t>
  </si>
  <si>
    <t>Recomendación</t>
  </si>
  <si>
    <t>Monto aprobado (L)</t>
  </si>
  <si>
    <t>Plazo aprobado (meses)</t>
  </si>
  <si>
    <t>Firma y sello</t>
  </si>
  <si>
    <t>CHECKLIST (marque): ☐ Identidad ☐ Pagaré ☐ Estado de aportaciones ☐ Otros</t>
  </si>
  <si>
    <t>tipo_id</t>
  </si>
  <si>
    <t>DNI</t>
  </si>
  <si>
    <t>RTN</t>
  </si>
  <si>
    <t>Pasaporte</t>
  </si>
  <si>
    <t>estado_civil</t>
  </si>
  <si>
    <t>Soltero(a)</t>
  </si>
  <si>
    <t>Casado(a)</t>
  </si>
  <si>
    <t>Unión libre</t>
  </si>
  <si>
    <t>Divorciado(a)</t>
  </si>
  <si>
    <t>Viudo(a)</t>
  </si>
  <si>
    <t>cond_laboral</t>
  </si>
  <si>
    <t>Empleado(a) público</t>
  </si>
  <si>
    <t>Empleado(a) privado</t>
  </si>
  <si>
    <t>Negocio propio</t>
  </si>
  <si>
    <t>Jubilado(a)</t>
  </si>
  <si>
    <t>plazo</t>
  </si>
  <si>
    <t>forma_pago</t>
  </si>
  <si>
    <t>Deducción por planilla</t>
  </si>
  <si>
    <t>Pago en ventanilla</t>
  </si>
  <si>
    <t>Transferencia bancaria</t>
  </si>
  <si>
    <t>destino</t>
  </si>
  <si>
    <t>Consumo personal</t>
  </si>
  <si>
    <t>Educación</t>
  </si>
  <si>
    <t>Salud</t>
  </si>
  <si>
    <t>Otro</t>
  </si>
  <si>
    <t>parentesco</t>
  </si>
  <si>
    <t>Familiar</t>
  </si>
  <si>
    <t>Amistad</t>
  </si>
  <si>
    <t>recomendacion</t>
  </si>
  <si>
    <t>Aprobado</t>
  </si>
  <si>
    <t>Condicionado</t>
  </si>
  <si>
    <t>Rechazado</t>
  </si>
  <si>
    <t>departamento</t>
  </si>
  <si>
    <t>Atlántida</t>
  </si>
  <si>
    <t>Choluteca</t>
  </si>
  <si>
    <t>Colón</t>
  </si>
  <si>
    <t>Comayagua</t>
  </si>
  <si>
    <t>Copán</t>
  </si>
  <si>
    <t>Cortés</t>
  </si>
  <si>
    <t>El Paraíso</t>
  </si>
  <si>
    <t>Francisco Morazán</t>
  </si>
  <si>
    <t>Gracias a Dios</t>
  </si>
  <si>
    <t>Intibucá</t>
  </si>
  <si>
    <t>Islas de la Bahía</t>
  </si>
  <si>
    <t>La Paz</t>
  </si>
  <si>
    <t>Lempira</t>
  </si>
  <si>
    <t>Ocotepeque</t>
  </si>
  <si>
    <t>Olancho</t>
  </si>
  <si>
    <t>Santa Bárbara</t>
  </si>
  <si>
    <t>Valle</t>
  </si>
  <si>
    <t>Yoro</t>
  </si>
  <si>
    <t>ANÁLISIS DE CRÉDITO – PRÉSTAMO AUTOMÁTICO (COMIFARH)</t>
  </si>
  <si>
    <t>1) PARÁMETROS</t>
  </si>
  <si>
    <t>Tasa anual préstamo automático</t>
  </si>
  <si>
    <t>Automático 12% anual</t>
  </si>
  <si>
    <t>Cobertura máxima sobre aportaciones</t>
  </si>
  <si>
    <t>No excede 90% aportaciones</t>
  </si>
  <si>
    <t>Plazo máximo (meses)</t>
  </si>
  <si>
    <t>Plazo máx. 12 meses</t>
  </si>
  <si>
    <t>2) DATOS (desde Solicitud)</t>
  </si>
  <si>
    <t>3) VALIDACIONES Y CÁLCULO</t>
  </si>
  <si>
    <t>Monto máximo permitido (L)</t>
  </si>
  <si>
    <t>Tasa mensual</t>
  </si>
  <si>
    <t>Cuota mensual estimada (L)</t>
  </si>
  <si>
    <t>Desembolso (L)</t>
  </si>
  <si>
    <t>Cumple monto ≤ máximo</t>
  </si>
  <si>
    <t>Cumple plazo ≤ máximo</t>
  </si>
  <si>
    <t>4) DICTAMEN</t>
  </si>
  <si>
    <t>Dictamen del analista</t>
  </si>
  <si>
    <t>Observaciones</t>
  </si>
  <si>
    <t>Recomendación final</t>
  </si>
  <si>
    <t>TABLA DE AMORTIZACIÓN – PRÉSTAMO AUTOMÁTICO</t>
  </si>
  <si>
    <t>Principal</t>
  </si>
  <si>
    <t>Cuota (fórmula)</t>
  </si>
  <si>
    <t>Fecha 1er pago (opcional)</t>
  </si>
  <si>
    <t>#</t>
  </si>
  <si>
    <t>Fecha</t>
  </si>
  <si>
    <t>Saldo inicial</t>
  </si>
  <si>
    <t>Cuota</t>
  </si>
  <si>
    <t>Interés</t>
  </si>
  <si>
    <t>Capital</t>
  </si>
  <si>
    <t>Saldo final</t>
  </si>
  <si>
    <t>CLIENTE:</t>
  </si>
  <si>
    <t xml:space="preserve">Gastos Operativos </t>
  </si>
  <si>
    <t>Aportaciones</t>
  </si>
  <si>
    <t>Tasa de Seguridad</t>
  </si>
  <si>
    <t>Cancelación Préstamo</t>
  </si>
  <si>
    <t>Total deducciones</t>
  </si>
  <si>
    <t>Total a desembolsar</t>
  </si>
  <si>
    <t>FECHAS:</t>
  </si>
  <si>
    <t>Inicio</t>
  </si>
  <si>
    <t>Final</t>
  </si>
  <si>
    <t>MONTO</t>
  </si>
  <si>
    <t>PLAZO</t>
  </si>
  <si>
    <t>TASA</t>
  </si>
  <si>
    <t>CUOTA</t>
  </si>
  <si>
    <t>Cuota+Aport</t>
  </si>
  <si>
    <t>Aportación mensual vigente (L)</t>
  </si>
  <si>
    <t>Cuota total (incluye aportación) (L)</t>
  </si>
  <si>
    <t>Retención 5% (L)</t>
  </si>
  <si>
    <t>Gastos operativos 3% (L)</t>
  </si>
  <si>
    <t>Retención a aportaciones</t>
  </si>
  <si>
    <t>Gastos operativos</t>
  </si>
  <si>
    <t>Editable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</si>
</sst>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_-* #,##0.00\ _$_-;\-* #,##0.00\ _$_-;_-* &quot;-&quot;??\ _$_-;_-@_-"/>
    <numFmt numFmtId="166" formatCode="&quot;L&quot;#,##0.00"/>
  </numFmts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3"/>
      <color rgb="FF1F4E79"/>
      <name val="Calibri"/>
      <family val="2"/>
    </font>
    <font>
      <b/>
      <sz val="11"/>
      <color rgb="FF7F7F7F"/>
      <name val="Calibri"/>
      <family val="2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1F4E79"/>
      <name val="Calibri"/>
      <family val="2"/>
    </font>
    <font>
      <sz val="12"/>
      <color rgb="FF1F4E79"/>
      <name val="Calibri"/>
      <family val="2"/>
    </font>
    <font>
      <sz val="12"/>
      <color rgb="FF404040"/>
      <name val="Calibri"/>
      <family val="2"/>
    </font>
    <font>
      <i/>
      <sz val="12"/>
      <color rgb="FF404040"/>
      <name val="Calibri"/>
      <family val="2"/>
    </font>
    <font>
      <b/>
      <i/>
      <sz val="14"/>
      <color theme="3"/>
      <name val="Calibri"/>
      <family val="2"/>
      <scheme val="minor"/>
    </font>
    <font>
      <sz val="16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 Narrow"/>
      <family val="2"/>
    </font>
    <font>
      <sz val="10"/>
      <name val="Arial"/>
      <family val="2"/>
    </font>
    <font>
      <b/>
      <sz val="12"/>
      <color theme="4" tint="-0.499984740745262"/>
      <name val="Times New Roman"/>
      <family val="1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</borders>
  <cellStyleXfs count="4">
    <xf numFmtId="0" fontId="0" fillId="0" borderId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</cellStyleXfs>
  <cellXfs count="6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4" fontId="0" fillId="4" borderId="1" xfId="0" applyNumberFormat="1" applyFill="1" applyBorder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10" fillId="0" borderId="1" xfId="0" applyFont="1" applyBorder="1"/>
    <xf numFmtId="0" fontId="11" fillId="4" borderId="1" xfId="0" applyFont="1" applyFill="1" applyBorder="1"/>
    <xf numFmtId="4" fontId="10" fillId="5" borderId="1" xfId="0" applyNumberFormat="1" applyFont="1" applyFill="1" applyBorder="1"/>
    <xf numFmtId="1" fontId="10" fillId="5" borderId="1" xfId="0" applyNumberFormat="1" applyFont="1" applyFill="1" applyBorder="1"/>
    <xf numFmtId="10" fontId="10" fillId="5" borderId="1" xfId="0" applyNumberFormat="1" applyFont="1" applyFill="1" applyBorder="1"/>
    <xf numFmtId="0" fontId="12" fillId="0" borderId="1" xfId="0" applyFont="1" applyBorder="1"/>
    <xf numFmtId="14" fontId="10" fillId="5" borderId="1" xfId="0" applyNumberFormat="1" applyFont="1" applyFill="1" applyBorder="1" applyProtection="1">
      <protection locked="0"/>
    </xf>
    <xf numFmtId="0" fontId="10" fillId="5" borderId="1" xfId="0" applyFont="1" applyFill="1" applyBorder="1" applyProtection="1">
      <protection locked="0"/>
    </xf>
    <xf numFmtId="4" fontId="10" fillId="5" borderId="1" xfId="0" applyNumberFormat="1" applyFont="1" applyFill="1" applyBorder="1" applyProtection="1">
      <protection locked="0"/>
    </xf>
    <xf numFmtId="4" fontId="10" fillId="3" borderId="1" xfId="0" applyNumberFormat="1" applyFont="1" applyFill="1" applyBorder="1" applyProtection="1">
      <protection locked="0"/>
    </xf>
    <xf numFmtId="10" fontId="10" fillId="4" borderId="1" xfId="0" applyNumberFormat="1" applyFont="1" applyFill="1" applyBorder="1" applyProtection="1">
      <protection locked="0"/>
    </xf>
    <xf numFmtId="0" fontId="14" fillId="0" borderId="1" xfId="0" applyFont="1" applyBorder="1" applyAlignment="1">
      <alignment wrapText="1"/>
    </xf>
    <xf numFmtId="0" fontId="10" fillId="4" borderId="1" xfId="0" applyFont="1" applyFill="1" applyBorder="1" applyProtection="1">
      <protection locked="0"/>
    </xf>
    <xf numFmtId="0" fontId="10" fillId="0" borderId="0" xfId="0" applyFont="1"/>
    <xf numFmtId="4" fontId="10" fillId="0" borderId="1" xfId="0" applyNumberFormat="1" applyFont="1" applyBorder="1"/>
    <xf numFmtId="164" fontId="10" fillId="0" borderId="1" xfId="0" applyNumberFormat="1" applyFont="1" applyBorder="1"/>
    <xf numFmtId="0" fontId="12" fillId="0" borderId="1" xfId="0" applyFont="1" applyBorder="1" applyAlignment="1">
      <alignment vertical="center"/>
    </xf>
    <xf numFmtId="0" fontId="10" fillId="4" borderId="1" xfId="0" applyFont="1" applyFill="1" applyBorder="1" applyAlignment="1" applyProtection="1">
      <alignment vertical="center" wrapText="1"/>
      <protection locked="0"/>
    </xf>
    <xf numFmtId="0" fontId="10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5" fillId="6" borderId="2" xfId="1" applyFont="1" applyFill="1"/>
    <xf numFmtId="0" fontId="16" fillId="6" borderId="3" xfId="2" applyFont="1" applyFill="1" applyAlignment="1"/>
    <xf numFmtId="0" fontId="17" fillId="6" borderId="0" xfId="1" applyFont="1" applyFill="1" applyBorder="1"/>
    <xf numFmtId="0" fontId="18" fillId="6" borderId="0" xfId="0" applyFont="1" applyFill="1"/>
    <xf numFmtId="9" fontId="19" fillId="6" borderId="0" xfId="0" applyNumberFormat="1" applyFont="1" applyFill="1"/>
    <xf numFmtId="165" fontId="19" fillId="6" borderId="0" xfId="0" applyNumberFormat="1" applyFont="1" applyFill="1"/>
    <xf numFmtId="0" fontId="19" fillId="6" borderId="0" xfId="0" applyFont="1" applyFill="1"/>
    <xf numFmtId="0" fontId="0" fillId="6" borderId="0" xfId="0" applyFill="1"/>
    <xf numFmtId="0" fontId="17" fillId="6" borderId="0" xfId="1" applyFont="1" applyFill="1" applyBorder="1" applyAlignment="1"/>
    <xf numFmtId="165" fontId="8" fillId="6" borderId="4" xfId="3" applyNumberFormat="1" applyFill="1"/>
    <xf numFmtId="0" fontId="20" fillId="7" borderId="12" xfId="0" applyFont="1" applyFill="1" applyBorder="1" applyAlignment="1">
      <alignment horizontal="center"/>
    </xf>
    <xf numFmtId="14" fontId="20" fillId="6" borderId="14" xfId="0" applyNumberFormat="1" applyFont="1" applyFill="1" applyBorder="1" applyAlignment="1">
      <alignment horizontal="center"/>
    </xf>
    <xf numFmtId="14" fontId="20" fillId="6" borderId="15" xfId="0" applyNumberFormat="1" applyFont="1" applyFill="1" applyBorder="1" applyAlignment="1">
      <alignment horizontal="center"/>
    </xf>
    <xf numFmtId="0" fontId="20" fillId="8" borderId="12" xfId="0" applyFont="1" applyFill="1" applyBorder="1" applyAlignment="1">
      <alignment horizontal="center"/>
    </xf>
    <xf numFmtId="166" fontId="10" fillId="4" borderId="16" xfId="0" applyNumberFormat="1" applyFont="1" applyFill="1" applyBorder="1" applyAlignment="1">
      <alignment horizontal="center"/>
    </xf>
    <xf numFmtId="1" fontId="10" fillId="4" borderId="16" xfId="0" applyNumberFormat="1" applyFont="1" applyFill="1" applyBorder="1" applyAlignment="1">
      <alignment horizontal="center"/>
    </xf>
    <xf numFmtId="10" fontId="10" fillId="4" borderId="16" xfId="0" applyNumberFormat="1" applyFont="1" applyFill="1" applyBorder="1" applyAlignment="1">
      <alignment horizontal="center"/>
    </xf>
    <xf numFmtId="166" fontId="21" fillId="9" borderId="16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6" fillId="6" borderId="3" xfId="2" applyFont="1" applyFill="1" applyAlignment="1">
      <alignment horizontal="center"/>
    </xf>
    <xf numFmtId="0" fontId="17" fillId="6" borderId="0" xfId="1" applyFont="1" applyFill="1" applyBorder="1" applyAlignment="1"/>
    <xf numFmtId="0" fontId="20" fillId="7" borderId="11" xfId="0" applyFont="1" applyFill="1" applyBorder="1" applyAlignment="1">
      <alignment horizontal="center" vertical="center"/>
    </xf>
    <xf numFmtId="0" fontId="20" fillId="7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/>
    <xf numFmtId="0" fontId="10" fillId="5" borderId="1" xfId="0" applyFont="1" applyFill="1" applyBorder="1" applyProtection="1">
      <protection locked="0"/>
    </xf>
    <xf numFmtId="0" fontId="10" fillId="0" borderId="1" xfId="0" applyFont="1" applyBorder="1"/>
    <xf numFmtId="0" fontId="9" fillId="2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</cellXfs>
  <cellStyles count="4">
    <cellStyle name="Celda vinculada" xfId="2" builtinId="24"/>
    <cellStyle name="Normal" xfId="0" builtinId="0"/>
    <cellStyle name="Título 3" xfId="1" builtinId="18"/>
    <cellStyle name="Total" xfId="3" builtinId="25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4</xdr:row>
      <xdr:rowOff>133429</xdr:rowOff>
    </xdr:from>
    <xdr:to>
      <xdr:col>3</xdr:col>
      <xdr:colOff>495300</xdr:colOff>
      <xdr:row>11</xdr:row>
      <xdr:rowOff>43383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A4BD61-0889-4EE7-82F6-D04953E47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6477000" y="733504"/>
          <a:ext cx="1257300" cy="1310129"/>
        </a:xfrm>
        <a:prstGeom prst="rect">
          <a:avLst/>
        </a:prstGeom>
        <a:ln>
          <a:noFill/>
        </a:ln>
        <a:effectLst>
          <a:reflection stA="0" endPos="65000" dist="50800" dir="5400000" sy="-100000" algn="bl" rotWithShape="0"/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7ebd89f623bf1bd/Documentos/Comifarh/COMIFARH%20diciembre%202019%20nuevo/Protocolo%20de%20Comifarh/Plantilla_COMIFARH_Fiduciario_Protegida_Resumen_Aval_72m.xlsx" TargetMode="External"/><Relationship Id="rId1" Type="http://schemas.openxmlformats.org/officeDocument/2006/relationships/externalLinkPath" Target="Plantilla_COMIFARH_Fiduciario_Protegida_Resumen_Aval_72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citud"/>
      <sheetName val="Listas"/>
      <sheetName val="Análisis de Crédito"/>
      <sheetName val="Amortización"/>
    </sheetNames>
    <sheetDataSet>
      <sheetData sheetId="0"/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mortizacionAuto" displayName="TablaAmortizacionAuto" ref="A18:G30">
  <autoFilter ref="A18:G30" xr:uid="{00000000-0009-0000-0100-000001000000}"/>
  <tableColumns count="7">
    <tableColumn id="1" xr3:uid="{00000000-0010-0000-0000-000001000000}" name="#"/>
    <tableColumn id="2" xr3:uid="{00000000-0010-0000-0000-000002000000}" name="Fecha"/>
    <tableColumn id="3" xr3:uid="{00000000-0010-0000-0000-000003000000}" name="Saldo inicial"/>
    <tableColumn id="4" xr3:uid="{00000000-0010-0000-0000-000004000000}" name="Cuota"/>
    <tableColumn id="5" xr3:uid="{00000000-0010-0000-0000-000005000000}" name="Interés"/>
    <tableColumn id="6" xr3:uid="{00000000-0010-0000-0000-000006000000}" name="Capital"/>
    <tableColumn id="7" xr3:uid="{00000000-0010-0000-0000-000007000000}" name="Saldo fin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opLeftCell="A28" workbookViewId="0">
      <selection activeCell="B62" sqref="B62:D62"/>
    </sheetView>
  </sheetViews>
  <sheetFormatPr baseColWidth="10" defaultColWidth="9.140625" defaultRowHeight="15" x14ac:dyDescent="0.25"/>
  <cols>
    <col min="1" max="1" width="50.28515625" bestFit="1" customWidth="1"/>
    <col min="2" max="2" width="34" customWidth="1"/>
    <col min="3" max="4" width="24" customWidth="1"/>
  </cols>
  <sheetData>
    <row r="1" spans="1:4" x14ac:dyDescent="0.25">
      <c r="A1" s="44" t="s">
        <v>0</v>
      </c>
      <c r="B1" s="45"/>
      <c r="C1" s="45"/>
      <c r="D1" s="45"/>
    </row>
    <row r="2" spans="1:4" x14ac:dyDescent="0.25">
      <c r="A2" s="45"/>
      <c r="B2" s="45"/>
      <c r="C2" s="45"/>
      <c r="D2" s="45"/>
    </row>
    <row r="3" spans="1:4" ht="17.25" x14ac:dyDescent="0.25">
      <c r="A3" s="57" t="s">
        <v>1</v>
      </c>
      <c r="B3" s="45"/>
      <c r="C3" s="45"/>
      <c r="D3" s="45"/>
    </row>
    <row r="4" spans="1:4" ht="27.95" customHeight="1" x14ac:dyDescent="0.25"/>
    <row r="5" spans="1:4" ht="15.75" x14ac:dyDescent="0.25">
      <c r="A5" s="56" t="s">
        <v>2</v>
      </c>
      <c r="B5" s="53"/>
      <c r="C5" s="58"/>
      <c r="D5" s="59"/>
    </row>
    <row r="6" spans="1:4" ht="15.75" x14ac:dyDescent="0.25">
      <c r="A6" s="7" t="s">
        <v>3</v>
      </c>
      <c r="B6" s="8">
        <f>B33</f>
        <v>0</v>
      </c>
      <c r="C6" s="60"/>
      <c r="D6" s="61"/>
    </row>
    <row r="7" spans="1:4" ht="15.75" x14ac:dyDescent="0.25">
      <c r="A7" s="7" t="s">
        <v>4</v>
      </c>
      <c r="B7" s="8">
        <f>B34</f>
        <v>0</v>
      </c>
      <c r="C7" s="60"/>
      <c r="D7" s="61"/>
    </row>
    <row r="8" spans="1:4" ht="15.75" x14ac:dyDescent="0.25">
      <c r="A8" s="7" t="s">
        <v>5</v>
      </c>
      <c r="B8" s="8">
        <f>B35</f>
        <v>0</v>
      </c>
      <c r="C8" s="60"/>
      <c r="D8" s="61"/>
    </row>
    <row r="9" spans="1:4" ht="15.75" x14ac:dyDescent="0.25">
      <c r="A9" s="7" t="s">
        <v>6</v>
      </c>
      <c r="B9" s="9">
        <f>B36</f>
        <v>0</v>
      </c>
      <c r="C9" s="60"/>
      <c r="D9" s="61"/>
    </row>
    <row r="10" spans="1:4" ht="15.75" x14ac:dyDescent="0.25">
      <c r="A10" s="7" t="s">
        <v>7</v>
      </c>
      <c r="B10" s="10">
        <f>'Análisis de Crédito'!B5</f>
        <v>0.12</v>
      </c>
      <c r="C10" s="60"/>
      <c r="D10" s="61"/>
    </row>
    <row r="11" spans="1:4" ht="15.75" x14ac:dyDescent="0.25">
      <c r="A11" s="7" t="s">
        <v>8</v>
      </c>
      <c r="B11" s="8">
        <f>Amortización!F12</f>
        <v>0</v>
      </c>
      <c r="C11" s="60"/>
      <c r="D11" s="61"/>
    </row>
    <row r="12" spans="1:4" ht="15.75" x14ac:dyDescent="0.25">
      <c r="A12" s="7" t="s">
        <v>9</v>
      </c>
      <c r="B12" s="8">
        <f>B35</f>
        <v>0</v>
      </c>
      <c r="C12" s="62"/>
      <c r="D12" s="63"/>
    </row>
    <row r="14" spans="1:4" ht="15.75" x14ac:dyDescent="0.25">
      <c r="A14" s="54" t="s">
        <v>10</v>
      </c>
      <c r="B14" s="53"/>
      <c r="C14" s="53"/>
      <c r="D14" s="53"/>
    </row>
    <row r="15" spans="1:4" ht="15.75" x14ac:dyDescent="0.25">
      <c r="A15" s="11" t="s">
        <v>11</v>
      </c>
      <c r="B15" s="12"/>
      <c r="C15" s="6"/>
      <c r="D15" s="6"/>
    </row>
    <row r="16" spans="1:4" ht="15.75" x14ac:dyDescent="0.25">
      <c r="A16" s="11" t="s">
        <v>12</v>
      </c>
      <c r="B16" s="52"/>
      <c r="C16" s="53"/>
      <c r="D16" s="53"/>
    </row>
    <row r="17" spans="1:4" ht="15.75" x14ac:dyDescent="0.25">
      <c r="A17" s="11" t="s">
        <v>13</v>
      </c>
      <c r="B17" s="52"/>
      <c r="C17" s="53"/>
      <c r="D17" s="53"/>
    </row>
    <row r="18" spans="1:4" ht="15.75" x14ac:dyDescent="0.25">
      <c r="A18" s="11" t="s">
        <v>14</v>
      </c>
      <c r="B18" s="13"/>
      <c r="C18" s="6"/>
      <c r="D18" s="6"/>
    </row>
    <row r="19" spans="1:4" ht="15.75" x14ac:dyDescent="0.25">
      <c r="A19" s="11" t="s">
        <v>15</v>
      </c>
      <c r="B19" s="52"/>
      <c r="C19" s="53"/>
      <c r="D19" s="53"/>
    </row>
    <row r="20" spans="1:4" ht="15.75" x14ac:dyDescent="0.25">
      <c r="A20" s="11" t="s">
        <v>16</v>
      </c>
      <c r="B20" s="12"/>
      <c r="C20" s="6"/>
      <c r="D20" s="6"/>
    </row>
    <row r="21" spans="1:4" ht="15.75" x14ac:dyDescent="0.25">
      <c r="A21" s="11" t="s">
        <v>17</v>
      </c>
      <c r="B21" s="13"/>
      <c r="C21" s="6"/>
      <c r="D21" s="6"/>
    </row>
    <row r="22" spans="1:4" ht="15.75" x14ac:dyDescent="0.25">
      <c r="A22" s="11" t="s">
        <v>18</v>
      </c>
      <c r="B22" s="52"/>
      <c r="C22" s="53"/>
      <c r="D22" s="53"/>
    </row>
    <row r="23" spans="1:4" ht="15.75" x14ac:dyDescent="0.25">
      <c r="A23" s="11" t="s">
        <v>19</v>
      </c>
      <c r="B23" s="13"/>
      <c r="C23" s="6"/>
      <c r="D23" s="6"/>
    </row>
    <row r="24" spans="1:4" ht="15.75" x14ac:dyDescent="0.25">
      <c r="A24" s="11" t="s">
        <v>20</v>
      </c>
      <c r="B24" s="52"/>
      <c r="C24" s="53"/>
      <c r="D24" s="53"/>
    </row>
    <row r="25" spans="1:4" ht="15.75" x14ac:dyDescent="0.25">
      <c r="A25" s="11" t="s">
        <v>21</v>
      </c>
      <c r="B25" s="13"/>
      <c r="C25" s="6"/>
      <c r="D25" s="6"/>
    </row>
    <row r="26" spans="1:4" ht="15.75" x14ac:dyDescent="0.25">
      <c r="A26" s="11" t="s">
        <v>22</v>
      </c>
      <c r="B26" s="52"/>
      <c r="C26" s="53"/>
      <c r="D26" s="53"/>
    </row>
    <row r="27" spans="1:4" ht="15.75" x14ac:dyDescent="0.25">
      <c r="A27" s="54" t="s">
        <v>23</v>
      </c>
      <c r="B27" s="53"/>
      <c r="C27" s="53"/>
      <c r="D27" s="53"/>
    </row>
    <row r="28" spans="1:4" ht="15.75" x14ac:dyDescent="0.25">
      <c r="A28" s="11" t="s">
        <v>24</v>
      </c>
      <c r="B28" s="13"/>
      <c r="C28" s="6"/>
      <c r="D28" s="6"/>
    </row>
    <row r="29" spans="1:4" ht="15.75" x14ac:dyDescent="0.25">
      <c r="A29" s="11" t="s">
        <v>25</v>
      </c>
      <c r="B29" s="52"/>
      <c r="C29" s="53"/>
      <c r="D29" s="53"/>
    </row>
    <row r="30" spans="1:4" ht="15.75" x14ac:dyDescent="0.25">
      <c r="A30" s="11" t="s">
        <v>26</v>
      </c>
      <c r="B30" s="52"/>
      <c r="C30" s="53"/>
      <c r="D30" s="53"/>
    </row>
    <row r="31" spans="1:4" ht="15.75" x14ac:dyDescent="0.25">
      <c r="A31" s="11" t="s">
        <v>27</v>
      </c>
      <c r="B31" s="14"/>
      <c r="C31" s="6"/>
      <c r="D31" s="6"/>
    </row>
    <row r="32" spans="1:4" ht="15.75" x14ac:dyDescent="0.25">
      <c r="A32" s="54" t="s">
        <v>28</v>
      </c>
      <c r="B32" s="53"/>
      <c r="C32" s="53"/>
      <c r="D32" s="53"/>
    </row>
    <row r="33" spans="1:4" ht="15.75" x14ac:dyDescent="0.25">
      <c r="A33" s="11" t="s">
        <v>29</v>
      </c>
      <c r="B33" s="14"/>
      <c r="C33" s="6"/>
      <c r="D33" s="6"/>
    </row>
    <row r="34" spans="1:4" ht="15.75" x14ac:dyDescent="0.25">
      <c r="A34" s="11" t="s">
        <v>30</v>
      </c>
      <c r="B34" s="15">
        <f>B33*0.9</f>
        <v>0</v>
      </c>
      <c r="C34" s="6"/>
      <c r="D34" s="6"/>
    </row>
    <row r="35" spans="1:4" ht="15.75" x14ac:dyDescent="0.25">
      <c r="A35" s="11" t="s">
        <v>5</v>
      </c>
      <c r="B35" s="14"/>
      <c r="C35" s="6"/>
      <c r="D35" s="6"/>
    </row>
    <row r="36" spans="1:4" ht="15.75" x14ac:dyDescent="0.25">
      <c r="A36" s="11" t="s">
        <v>31</v>
      </c>
      <c r="B36" s="13"/>
      <c r="C36" s="6"/>
      <c r="D36" s="6"/>
    </row>
    <row r="37" spans="1:4" ht="15.75" x14ac:dyDescent="0.25">
      <c r="A37" s="11" t="s">
        <v>153</v>
      </c>
      <c r="B37" s="20"/>
      <c r="C37" s="6"/>
      <c r="D37" s="6"/>
    </row>
    <row r="38" spans="1:4" ht="15.75" x14ac:dyDescent="0.25">
      <c r="A38" s="11" t="s">
        <v>32</v>
      </c>
      <c r="B38" s="13"/>
      <c r="C38" s="6"/>
      <c r="D38" s="6"/>
    </row>
    <row r="39" spans="1:4" ht="15.75" x14ac:dyDescent="0.25">
      <c r="A39" s="11" t="s">
        <v>33</v>
      </c>
      <c r="B39" s="13"/>
      <c r="C39" s="6"/>
      <c r="D39" s="6"/>
    </row>
    <row r="40" spans="1:4" ht="15.75" x14ac:dyDescent="0.25">
      <c r="A40" s="11" t="s">
        <v>34</v>
      </c>
      <c r="B40" s="52"/>
      <c r="C40" s="53"/>
      <c r="D40" s="53"/>
    </row>
    <row r="41" spans="1:4" ht="15.75" x14ac:dyDescent="0.25">
      <c r="A41" s="11" t="s">
        <v>35</v>
      </c>
      <c r="B41" s="12"/>
      <c r="C41" s="6"/>
      <c r="D41" s="6"/>
    </row>
    <row r="42" spans="1:4" ht="15.75" x14ac:dyDescent="0.25">
      <c r="A42" s="54" t="s">
        <v>36</v>
      </c>
      <c r="B42" s="53"/>
      <c r="C42" s="53"/>
      <c r="D42" s="53"/>
    </row>
    <row r="43" spans="1:4" ht="15.75" x14ac:dyDescent="0.25">
      <c r="A43" s="11" t="s">
        <v>37</v>
      </c>
      <c r="B43" s="52"/>
      <c r="C43" s="53"/>
      <c r="D43" s="53"/>
    </row>
    <row r="44" spans="1:4" ht="15.75" x14ac:dyDescent="0.25">
      <c r="A44" s="11" t="s">
        <v>38</v>
      </c>
      <c r="B44" s="13"/>
      <c r="C44" s="6"/>
      <c r="D44" s="6"/>
    </row>
    <row r="45" spans="1:4" ht="15.75" x14ac:dyDescent="0.25">
      <c r="A45" s="11" t="s">
        <v>39</v>
      </c>
      <c r="B45" s="13"/>
      <c r="C45" s="6"/>
      <c r="D45" s="6"/>
    </row>
    <row r="46" spans="1:4" ht="15.75" x14ac:dyDescent="0.25">
      <c r="A46" s="11" t="s">
        <v>40</v>
      </c>
      <c r="B46" s="52"/>
      <c r="C46" s="53"/>
      <c r="D46" s="53"/>
    </row>
    <row r="47" spans="1:4" ht="15.75" x14ac:dyDescent="0.25">
      <c r="A47" s="11" t="s">
        <v>41</v>
      </c>
      <c r="B47" s="13"/>
      <c r="C47" s="6"/>
      <c r="D47" s="6"/>
    </row>
    <row r="48" spans="1:4" ht="15.75" x14ac:dyDescent="0.25">
      <c r="A48" s="11" t="s">
        <v>42</v>
      </c>
      <c r="B48" s="13"/>
      <c r="C48" s="6"/>
      <c r="D48" s="6"/>
    </row>
    <row r="49" spans="1:4" ht="15.75" x14ac:dyDescent="0.25">
      <c r="A49" s="54" t="s">
        <v>43</v>
      </c>
      <c r="B49" s="53"/>
      <c r="C49" s="53"/>
      <c r="D49" s="53"/>
    </row>
    <row r="50" spans="1:4" x14ac:dyDescent="0.25">
      <c r="A50" s="55" t="s">
        <v>44</v>
      </c>
      <c r="B50" s="53"/>
      <c r="C50" s="53"/>
      <c r="D50" s="53"/>
    </row>
    <row r="51" spans="1:4" x14ac:dyDescent="0.25">
      <c r="A51" s="53"/>
      <c r="B51" s="53"/>
      <c r="C51" s="53"/>
      <c r="D51" s="53"/>
    </row>
    <row r="52" spans="1:4" x14ac:dyDescent="0.25">
      <c r="A52" s="53"/>
      <c r="B52" s="53"/>
      <c r="C52" s="53"/>
      <c r="D52" s="53"/>
    </row>
    <row r="53" spans="1:4" ht="15.75" x14ac:dyDescent="0.25">
      <c r="A53" s="11" t="s">
        <v>45</v>
      </c>
      <c r="B53" s="52"/>
      <c r="C53" s="53"/>
      <c r="D53" s="53"/>
    </row>
    <row r="54" spans="1:4" ht="15.75" x14ac:dyDescent="0.25">
      <c r="A54" s="11" t="s">
        <v>46</v>
      </c>
      <c r="B54" s="52"/>
      <c r="C54" s="53"/>
      <c r="D54" s="53"/>
    </row>
    <row r="55" spans="1:4" ht="15.75" x14ac:dyDescent="0.25">
      <c r="A55" s="54" t="s">
        <v>47</v>
      </c>
      <c r="B55" s="53"/>
      <c r="C55" s="53"/>
      <c r="D55" s="53"/>
    </row>
    <row r="56" spans="1:4" ht="15.75" x14ac:dyDescent="0.25">
      <c r="A56" s="11" t="s">
        <v>48</v>
      </c>
      <c r="B56" s="13"/>
      <c r="C56" s="6"/>
      <c r="D56" s="6"/>
    </row>
    <row r="57" spans="1:4" ht="15.75" x14ac:dyDescent="0.25">
      <c r="A57" s="11" t="s">
        <v>49</v>
      </c>
      <c r="B57" s="12"/>
      <c r="C57" s="6"/>
      <c r="D57" s="6"/>
    </row>
    <row r="58" spans="1:4" ht="15.75" x14ac:dyDescent="0.25">
      <c r="A58" s="11" t="s">
        <v>50</v>
      </c>
      <c r="B58" s="52"/>
      <c r="C58" s="53"/>
      <c r="D58" s="53"/>
    </row>
    <row r="59" spans="1:4" ht="15.75" x14ac:dyDescent="0.25">
      <c r="A59" s="11" t="s">
        <v>51</v>
      </c>
      <c r="B59" s="13"/>
      <c r="C59" s="6"/>
      <c r="D59" s="6"/>
    </row>
    <row r="60" spans="1:4" ht="15.75" x14ac:dyDescent="0.25">
      <c r="A60" s="11" t="s">
        <v>52</v>
      </c>
      <c r="B60" s="14"/>
      <c r="C60" s="6"/>
      <c r="D60" s="6"/>
    </row>
    <row r="61" spans="1:4" ht="15.75" x14ac:dyDescent="0.25">
      <c r="A61" s="11" t="s">
        <v>53</v>
      </c>
      <c r="B61" s="13"/>
      <c r="C61" s="6"/>
      <c r="D61" s="6"/>
    </row>
    <row r="62" spans="1:4" ht="15.75" x14ac:dyDescent="0.25">
      <c r="A62" s="11" t="s">
        <v>54</v>
      </c>
      <c r="B62" s="52"/>
      <c r="C62" s="53"/>
      <c r="D62" s="53"/>
    </row>
    <row r="64" spans="1:4" x14ac:dyDescent="0.25">
      <c r="A64" s="50" t="s">
        <v>55</v>
      </c>
      <c r="B64" s="51"/>
      <c r="C64" s="51"/>
      <c r="D64" s="51"/>
    </row>
  </sheetData>
  <sheetProtection selectLockedCells="1" selectUnlockedCells="1"/>
  <mergeCells count="27">
    <mergeCell ref="B43:D43"/>
    <mergeCell ref="A1:D2"/>
    <mergeCell ref="B62:D62"/>
    <mergeCell ref="B58:D58"/>
    <mergeCell ref="A5:B5"/>
    <mergeCell ref="B17:D17"/>
    <mergeCell ref="B54:D54"/>
    <mergeCell ref="B16:D16"/>
    <mergeCell ref="A3:D3"/>
    <mergeCell ref="A14:D14"/>
    <mergeCell ref="C5:D12"/>
    <mergeCell ref="A64:D64"/>
    <mergeCell ref="B29:D29"/>
    <mergeCell ref="B19:D19"/>
    <mergeCell ref="A49:D49"/>
    <mergeCell ref="B30:D30"/>
    <mergeCell ref="B24:D24"/>
    <mergeCell ref="A50:D52"/>
    <mergeCell ref="B46:D46"/>
    <mergeCell ref="A55:D55"/>
    <mergeCell ref="B26:D26"/>
    <mergeCell ref="A42:D42"/>
    <mergeCell ref="A27:D27"/>
    <mergeCell ref="B22:D22"/>
    <mergeCell ref="B53:D53"/>
    <mergeCell ref="B40:D40"/>
    <mergeCell ref="A32:D32"/>
  </mergeCells>
  <conditionalFormatting sqref="B35">
    <cfRule type="cellIs" dxfId="2" priority="1" operator="greaterThan">
      <formula>B34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xr:uid="{00000000-0002-0000-0000-000004000000}">
          <x14:formula1>
            <xm:f>Listas!B5:D5</xm:f>
          </x14:formula1>
          <xm:sqref>B38</xm:sqref>
        </x14:dataValidation>
        <x14:dataValidation type="list" xr:uid="{00000000-0002-0000-0000-000006000000}">
          <x14:formula1>
            <xm:f>Listas!B6:E6</xm:f>
          </x14:formula1>
          <xm:sqref>B39</xm:sqref>
        </x14:dataValidation>
        <x14:dataValidation type="list" xr:uid="{00000000-0002-0000-0000-000007000000}">
          <x14:formula1>
            <xm:f>Listas!B7:C7</xm:f>
          </x14:formula1>
          <xm:sqref>B44</xm:sqref>
        </x14:dataValidation>
        <x14:dataValidation type="list" xr:uid="{00000000-0002-0000-0000-000008000000}">
          <x14:formula1>
            <xm:f>Listas!B7:C7</xm:f>
          </x14:formula1>
          <xm:sqref>B47</xm:sqref>
        </x14:dataValidation>
        <x14:dataValidation type="list" xr:uid="{00000000-0002-0000-0000-000009000000}">
          <x14:formula1>
            <xm:f>Listas!B8:D8</xm:f>
          </x14:formula1>
          <xm:sqref>B59</xm:sqref>
        </x14:dataValidation>
        <x14:dataValidation type="list" xr:uid="{00000000-0002-0000-0000-000000000000}">
          <x14:formula1>
            <xm:f>Listas!B1:D1</xm:f>
          </x14:formula1>
          <xm:sqref>B18</xm:sqref>
        </x14:dataValidation>
        <x14:dataValidation type="list" xr:uid="{00000000-0002-0000-0000-000001000000}">
          <x14:formula1>
            <xm:f>Listas!B2:F2</xm:f>
          </x14:formula1>
          <xm:sqref>B21</xm:sqref>
        </x14:dataValidation>
        <x14:dataValidation type="list" xr:uid="{00000000-0002-0000-0000-000002000000}">
          <x14:formula1>
            <xm:f>Listas!B3:E3</xm:f>
          </x14:formula1>
          <xm:sqref>B28</xm:sqref>
        </x14:dataValidation>
        <x14:dataValidation type="list" xr:uid="{00000000-0002-0000-0000-000003000000}">
          <x14:formula1>
            <xm:f>Listas!B4:M4</xm:f>
          </x14:formula1>
          <xm:sqref>B36:B37</xm:sqref>
        </x14:dataValidation>
        <x14:dataValidation type="list" xr:uid="{00000000-0002-0000-0000-000005000000}">
          <x14:formula1>
            <xm:f>Listas!B9:S9</xm:f>
          </x14:formula1>
          <xm:sqref>B23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"/>
  <sheetViews>
    <sheetView workbookViewId="0"/>
  </sheetViews>
  <sheetFormatPr baseColWidth="10" defaultColWidth="9.140625" defaultRowHeight="15" x14ac:dyDescent="0.25"/>
  <sheetData>
    <row r="1" spans="1:19" x14ac:dyDescent="0.25">
      <c r="A1" t="s">
        <v>56</v>
      </c>
      <c r="B1" t="s">
        <v>57</v>
      </c>
      <c r="C1" t="s">
        <v>58</v>
      </c>
      <c r="D1" t="s">
        <v>59</v>
      </c>
    </row>
    <row r="2" spans="1:19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19" x14ac:dyDescent="0.25">
      <c r="A3" t="s">
        <v>66</v>
      </c>
      <c r="B3" t="s">
        <v>67</v>
      </c>
      <c r="C3" t="s">
        <v>68</v>
      </c>
      <c r="D3" t="s">
        <v>69</v>
      </c>
      <c r="E3" t="s">
        <v>70</v>
      </c>
    </row>
    <row r="4" spans="1:19" x14ac:dyDescent="0.25">
      <c r="A4" t="s">
        <v>71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</row>
    <row r="5" spans="1:19" x14ac:dyDescent="0.25">
      <c r="A5" t="s">
        <v>72</v>
      </c>
      <c r="B5" t="s">
        <v>73</v>
      </c>
      <c r="C5" t="s">
        <v>74</v>
      </c>
      <c r="D5" t="s">
        <v>75</v>
      </c>
    </row>
    <row r="6" spans="1:19" x14ac:dyDescent="0.25">
      <c r="A6" t="s">
        <v>76</v>
      </c>
      <c r="B6" t="s">
        <v>77</v>
      </c>
      <c r="C6" t="s">
        <v>78</v>
      </c>
      <c r="D6" t="s">
        <v>79</v>
      </c>
      <c r="E6" t="s">
        <v>80</v>
      </c>
    </row>
    <row r="7" spans="1:19" x14ac:dyDescent="0.25">
      <c r="A7" t="s">
        <v>81</v>
      </c>
      <c r="B7" t="s">
        <v>82</v>
      </c>
      <c r="C7" t="s">
        <v>83</v>
      </c>
    </row>
    <row r="8" spans="1:19" x14ac:dyDescent="0.25">
      <c r="A8" t="s">
        <v>84</v>
      </c>
      <c r="B8" t="s">
        <v>85</v>
      </c>
      <c r="C8" t="s">
        <v>86</v>
      </c>
      <c r="D8" t="s">
        <v>87</v>
      </c>
    </row>
    <row r="9" spans="1:19" x14ac:dyDescent="0.25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100</v>
      </c>
      <c r="N9" t="s">
        <v>101</v>
      </c>
      <c r="O9" t="s">
        <v>102</v>
      </c>
      <c r="P9" t="s">
        <v>103</v>
      </c>
      <c r="Q9" t="s">
        <v>104</v>
      </c>
      <c r="R9" t="s">
        <v>105</v>
      </c>
      <c r="S9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pane ySplit="3" topLeftCell="A4" activePane="bottomLeft" state="frozen"/>
      <selection pane="bottomLeft" activeCell="B31" sqref="B31"/>
    </sheetView>
  </sheetViews>
  <sheetFormatPr baseColWidth="10" defaultColWidth="9.140625" defaultRowHeight="15" x14ac:dyDescent="0.25"/>
  <cols>
    <col min="1" max="1" width="46" customWidth="1"/>
    <col min="2" max="2" width="22" customWidth="1"/>
    <col min="3" max="3" width="18" customWidth="1"/>
    <col min="4" max="4" width="42" customWidth="1"/>
  </cols>
  <sheetData>
    <row r="1" spans="1:4" x14ac:dyDescent="0.25">
      <c r="A1" s="44" t="s">
        <v>107</v>
      </c>
      <c r="B1" s="45"/>
      <c r="C1" s="45"/>
      <c r="D1" s="45"/>
    </row>
    <row r="2" spans="1:4" x14ac:dyDescent="0.25">
      <c r="A2" s="45"/>
      <c r="B2" s="45"/>
      <c r="C2" s="45"/>
      <c r="D2" s="45"/>
    </row>
    <row r="4" spans="1:4" ht="15.75" x14ac:dyDescent="0.25">
      <c r="A4" s="54" t="s">
        <v>108</v>
      </c>
      <c r="B4" s="53"/>
      <c r="C4" s="53"/>
      <c r="D4" s="53"/>
    </row>
    <row r="5" spans="1:4" ht="15.75" x14ac:dyDescent="0.25">
      <c r="A5" s="11" t="s">
        <v>109</v>
      </c>
      <c r="B5" s="16">
        <v>0.12</v>
      </c>
      <c r="C5" s="6"/>
      <c r="D5" s="17" t="s">
        <v>110</v>
      </c>
    </row>
    <row r="6" spans="1:4" ht="15.75" x14ac:dyDescent="0.25">
      <c r="A6" s="11" t="s">
        <v>157</v>
      </c>
      <c r="B6" s="16">
        <v>0.05</v>
      </c>
      <c r="C6" s="6"/>
      <c r="D6" s="17" t="s">
        <v>159</v>
      </c>
    </row>
    <row r="7" spans="1:4" ht="15.75" x14ac:dyDescent="0.25">
      <c r="A7" s="11" t="s">
        <v>158</v>
      </c>
      <c r="B7" s="16">
        <v>0.03</v>
      </c>
      <c r="C7" s="6"/>
      <c r="D7" s="17" t="s">
        <v>159</v>
      </c>
    </row>
    <row r="8" spans="1:4" ht="15.75" x14ac:dyDescent="0.25">
      <c r="A8" s="11" t="s">
        <v>111</v>
      </c>
      <c r="B8" s="16">
        <v>0.9</v>
      </c>
      <c r="C8" s="6"/>
      <c r="D8" s="17" t="s">
        <v>112</v>
      </c>
    </row>
    <row r="9" spans="1:4" ht="15.75" x14ac:dyDescent="0.25">
      <c r="A9" s="11" t="s">
        <v>113</v>
      </c>
      <c r="B9" s="18">
        <v>12</v>
      </c>
      <c r="C9" s="6"/>
      <c r="D9" s="17" t="s">
        <v>114</v>
      </c>
    </row>
    <row r="10" spans="1:4" ht="15.75" x14ac:dyDescent="0.25">
      <c r="A10" s="19"/>
      <c r="B10" s="19"/>
      <c r="C10" s="19"/>
      <c r="D10" s="19"/>
    </row>
    <row r="11" spans="1:4" ht="15.75" x14ac:dyDescent="0.25">
      <c r="A11" s="54" t="s">
        <v>115</v>
      </c>
      <c r="B11" s="53"/>
      <c r="C11" s="53"/>
      <c r="D11" s="53"/>
    </row>
    <row r="12" spans="1:4" ht="15.75" x14ac:dyDescent="0.25">
      <c r="A12" s="11" t="s">
        <v>27</v>
      </c>
      <c r="B12" s="20">
        <f>Solicitud!B31</f>
        <v>0</v>
      </c>
      <c r="C12" s="6"/>
      <c r="D12" s="6"/>
    </row>
    <row r="13" spans="1:4" ht="15.75" x14ac:dyDescent="0.25">
      <c r="A13" s="11" t="s">
        <v>3</v>
      </c>
      <c r="B13" s="20">
        <f>Solicitud!B33</f>
        <v>0</v>
      </c>
      <c r="C13" s="6"/>
      <c r="D13" s="6"/>
    </row>
    <row r="14" spans="1:4" ht="15.75" x14ac:dyDescent="0.25">
      <c r="A14" s="11" t="s">
        <v>5</v>
      </c>
      <c r="B14" s="20">
        <f>Solicitud!B35</f>
        <v>0</v>
      </c>
      <c r="C14" s="6"/>
      <c r="D14" s="6"/>
    </row>
    <row r="15" spans="1:4" ht="15.75" x14ac:dyDescent="0.25">
      <c r="A15" s="11" t="s">
        <v>31</v>
      </c>
      <c r="B15" s="6">
        <f>Solicitud!B36</f>
        <v>0</v>
      </c>
      <c r="C15" s="6"/>
      <c r="D15" s="6"/>
    </row>
    <row r="16" spans="1:4" ht="15.75" x14ac:dyDescent="0.25">
      <c r="A16" s="11" t="s">
        <v>153</v>
      </c>
      <c r="B16" s="20">
        <f>Solicitud!B37</f>
        <v>0</v>
      </c>
      <c r="C16" s="19"/>
      <c r="D16" s="19"/>
    </row>
    <row r="17" spans="1:4" ht="15.75" x14ac:dyDescent="0.25">
      <c r="A17" s="19"/>
      <c r="B17" s="19"/>
      <c r="C17" s="19"/>
      <c r="D17" s="19"/>
    </row>
    <row r="18" spans="1:4" ht="15.75" x14ac:dyDescent="0.25">
      <c r="A18" s="54" t="s">
        <v>116</v>
      </c>
      <c r="B18" s="53"/>
      <c r="C18" s="53"/>
      <c r="D18" s="53"/>
    </row>
    <row r="19" spans="1:4" ht="15.75" x14ac:dyDescent="0.25">
      <c r="A19" s="11" t="s">
        <v>117</v>
      </c>
      <c r="B19" s="20">
        <f>B13*$B$8</f>
        <v>0</v>
      </c>
      <c r="C19" s="6"/>
      <c r="D19" s="6"/>
    </row>
    <row r="20" spans="1:4" ht="15.75" x14ac:dyDescent="0.25">
      <c r="A20" s="11" t="s">
        <v>118</v>
      </c>
      <c r="B20" s="21">
        <f>$B$5/12</f>
        <v>0.01</v>
      </c>
      <c r="C20" s="6"/>
      <c r="D20" s="6"/>
    </row>
    <row r="21" spans="1:4" ht="15.75" x14ac:dyDescent="0.25">
      <c r="A21" s="11" t="s">
        <v>119</v>
      </c>
      <c r="B21" s="20" t="e">
        <f>-PMT(B20,B15,B14)</f>
        <v>#NUM!</v>
      </c>
      <c r="C21" s="6"/>
      <c r="D21" s="6"/>
    </row>
    <row r="22" spans="1:4" ht="15.75" x14ac:dyDescent="0.25">
      <c r="A22" s="11" t="s">
        <v>154</v>
      </c>
      <c r="B22" s="20" t="e">
        <f>B21+B16</f>
        <v>#NUM!</v>
      </c>
      <c r="C22" s="6"/>
      <c r="D22" s="6"/>
    </row>
    <row r="23" spans="1:4" ht="15.75" x14ac:dyDescent="0.25">
      <c r="A23" s="11" t="s">
        <v>155</v>
      </c>
      <c r="B23" s="20">
        <f>B14*B6</f>
        <v>0</v>
      </c>
      <c r="C23" s="6"/>
      <c r="D23" s="6"/>
    </row>
    <row r="24" spans="1:4" ht="15.75" x14ac:dyDescent="0.25">
      <c r="A24" s="11" t="s">
        <v>156</v>
      </c>
      <c r="B24" s="20">
        <f>B14*B7</f>
        <v>0</v>
      </c>
      <c r="C24" s="6"/>
      <c r="D24" s="6"/>
    </row>
    <row r="25" spans="1:4" ht="15.75" x14ac:dyDescent="0.25">
      <c r="A25" s="11" t="s">
        <v>120</v>
      </c>
      <c r="B25" s="20">
        <f>B14-B23-B24</f>
        <v>0</v>
      </c>
      <c r="C25" s="6"/>
      <c r="D25" s="6"/>
    </row>
    <row r="26" spans="1:4" ht="15.75" x14ac:dyDescent="0.25">
      <c r="A26" s="11" t="s">
        <v>121</v>
      </c>
      <c r="B26" s="6" t="str">
        <f>IF(B14&lt;=B19,"SÍ","NO")</f>
        <v>SÍ</v>
      </c>
      <c r="C26" s="6"/>
      <c r="D26" s="6"/>
    </row>
    <row r="27" spans="1:4" ht="15.75" x14ac:dyDescent="0.25">
      <c r="A27" s="11" t="s">
        <v>122</v>
      </c>
      <c r="B27" s="6" t="str">
        <f>IF(B15&lt;=$B$9,"SÍ","NO")</f>
        <v>SÍ</v>
      </c>
      <c r="C27" s="6"/>
      <c r="D27" s="6"/>
    </row>
    <row r="28" spans="1:4" ht="15.75" x14ac:dyDescent="0.25">
      <c r="A28" s="19"/>
      <c r="B28" s="19"/>
      <c r="C28" s="19"/>
      <c r="D28" s="19"/>
    </row>
    <row r="29" spans="1:4" ht="15.75" x14ac:dyDescent="0.25">
      <c r="A29" s="54" t="s">
        <v>123</v>
      </c>
      <c r="B29" s="53"/>
      <c r="C29" s="53"/>
      <c r="D29" s="53"/>
    </row>
    <row r="30" spans="1:4" ht="60" customHeight="1" x14ac:dyDescent="0.25">
      <c r="A30" s="22" t="s">
        <v>124</v>
      </c>
      <c r="B30" s="23"/>
      <c r="C30" s="24"/>
      <c r="D30" s="25" t="s">
        <v>125</v>
      </c>
    </row>
    <row r="31" spans="1:4" ht="15.75" x14ac:dyDescent="0.25">
      <c r="A31" s="11" t="s">
        <v>126</v>
      </c>
      <c r="B31" s="6" t="str">
        <f>IF(AND(B26="SÍ",B27="SÍ"),"APROBABLE","REVISAR / CONDICIONAR")</f>
        <v>APROBABLE</v>
      </c>
      <c r="C31" s="6"/>
      <c r="D31" s="6"/>
    </row>
  </sheetData>
  <sheetProtection selectLockedCells="1" selectUnlockedCells="1"/>
  <mergeCells count="5">
    <mergeCell ref="A29:D29"/>
    <mergeCell ref="A1:D2"/>
    <mergeCell ref="A11:D11"/>
    <mergeCell ref="A4:D4"/>
    <mergeCell ref="A18:D18"/>
  </mergeCells>
  <conditionalFormatting sqref="B26:B27">
    <cfRule type="cellIs" dxfId="1" priority="1" operator="equal">
      <formula>"NO"</formula>
    </cfRule>
    <cfRule type="cellIs" dxfId="0" priority="2" operator="equal">
      <formula>"SÍ"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tabSelected="1" topLeftCell="A6" workbookViewId="0">
      <selection activeCell="C17" sqref="C17"/>
    </sheetView>
  </sheetViews>
  <sheetFormatPr baseColWidth="10" defaultColWidth="9.140625" defaultRowHeight="15" x14ac:dyDescent="0.25"/>
  <cols>
    <col min="1" max="1" width="6" customWidth="1"/>
    <col min="2" max="2" width="14" customWidth="1"/>
    <col min="3" max="7" width="18" customWidth="1"/>
  </cols>
  <sheetData>
    <row r="1" spans="1:7" x14ac:dyDescent="0.25">
      <c r="A1" s="44" t="s">
        <v>127</v>
      </c>
      <c r="B1" s="45"/>
      <c r="C1" s="45"/>
      <c r="D1" s="45"/>
      <c r="E1" s="45"/>
      <c r="F1" s="45"/>
      <c r="G1" s="45"/>
    </row>
    <row r="2" spans="1:7" x14ac:dyDescent="0.25">
      <c r="A2" s="45"/>
      <c r="B2" s="45"/>
      <c r="C2" s="45"/>
      <c r="D2" s="45"/>
      <c r="E2" s="45"/>
      <c r="F2" s="45"/>
      <c r="G2" s="45"/>
    </row>
    <row r="3" spans="1:7" ht="21.75" thickBot="1" x14ac:dyDescent="0.4">
      <c r="A3" s="26" t="s">
        <v>138</v>
      </c>
      <c r="B3" s="27"/>
      <c r="C3" s="46">
        <f>[1]Solicitud!B16</f>
        <v>0</v>
      </c>
      <c r="D3" s="46"/>
      <c r="E3" s="46"/>
      <c r="F3" s="46"/>
      <c r="G3" s="46"/>
    </row>
    <row r="4" spans="1:7" ht="16.5" x14ac:dyDescent="0.3">
      <c r="A4" s="28" t="s">
        <v>139</v>
      </c>
      <c r="B4" s="29"/>
      <c r="C4" s="30">
        <v>0.03</v>
      </c>
      <c r="D4" s="31">
        <f>SUM(C12*C4)</f>
        <v>0</v>
      </c>
      <c r="E4" s="32"/>
      <c r="F4" s="33"/>
      <c r="G4" s="32"/>
    </row>
    <row r="5" spans="1:7" x14ac:dyDescent="0.25">
      <c r="A5" s="47" t="s">
        <v>140</v>
      </c>
      <c r="B5" s="47"/>
      <c r="C5" s="30">
        <v>0.05</v>
      </c>
      <c r="D5" s="31">
        <f>SUM(C12*C5)</f>
        <v>0</v>
      </c>
      <c r="E5" s="31"/>
      <c r="F5" s="33"/>
      <c r="G5" s="32"/>
    </row>
    <row r="6" spans="1:7" x14ac:dyDescent="0.25">
      <c r="A6" s="34" t="s">
        <v>141</v>
      </c>
      <c r="B6" s="34"/>
      <c r="C6" s="30"/>
      <c r="D6" s="31"/>
      <c r="E6" s="31"/>
      <c r="F6" s="33"/>
      <c r="G6" s="32"/>
    </row>
    <row r="7" spans="1:7" x14ac:dyDescent="0.25">
      <c r="A7" s="34" t="s">
        <v>142</v>
      </c>
      <c r="B7" s="34"/>
      <c r="C7" s="30"/>
      <c r="D7" s="31">
        <v>0</v>
      </c>
      <c r="E7" s="31"/>
      <c r="F7" s="33"/>
      <c r="G7" s="32"/>
    </row>
    <row r="8" spans="1:7" x14ac:dyDescent="0.25">
      <c r="A8" s="47" t="s">
        <v>143</v>
      </c>
      <c r="B8" s="47"/>
      <c r="C8" s="30"/>
      <c r="D8" s="31">
        <f>SUM(D4:D7)</f>
        <v>0</v>
      </c>
      <c r="E8" s="32"/>
      <c r="F8" s="33"/>
      <c r="G8" s="32"/>
    </row>
    <row r="9" spans="1:7" ht="16.5" thickBot="1" x14ac:dyDescent="0.3">
      <c r="A9" s="47" t="s">
        <v>144</v>
      </c>
      <c r="B9" s="47"/>
      <c r="C9" s="30"/>
      <c r="D9" s="35">
        <f>SUM(C12-D8)</f>
        <v>0</v>
      </c>
      <c r="E9" s="48" t="s">
        <v>145</v>
      </c>
      <c r="F9" s="36" t="s">
        <v>146</v>
      </c>
      <c r="G9" s="36" t="s">
        <v>147</v>
      </c>
    </row>
    <row r="10" spans="1:7" ht="16.5" thickTop="1" x14ac:dyDescent="0.25">
      <c r="A10" s="33"/>
      <c r="B10" s="32"/>
      <c r="C10" s="32"/>
      <c r="D10" s="32"/>
      <c r="E10" s="49"/>
      <c r="F10" s="37"/>
      <c r="G10" s="38"/>
    </row>
    <row r="11" spans="1:7" ht="15.75" x14ac:dyDescent="0.25">
      <c r="A11" s="33"/>
      <c r="B11" s="32"/>
      <c r="C11" s="39" t="s">
        <v>148</v>
      </c>
      <c r="D11" s="39" t="s">
        <v>149</v>
      </c>
      <c r="E11" s="39" t="s">
        <v>150</v>
      </c>
      <c r="F11" s="39" t="s">
        <v>151</v>
      </c>
      <c r="G11" s="39" t="s">
        <v>152</v>
      </c>
    </row>
    <row r="12" spans="1:7" ht="15.75" x14ac:dyDescent="0.25">
      <c r="B12" t="s">
        <v>128</v>
      </c>
      <c r="C12" s="40">
        <f>Solicitud!B35</f>
        <v>0</v>
      </c>
      <c r="D12" s="41">
        <f>'Análisis de Crédito'!B9</f>
        <v>12</v>
      </c>
      <c r="E12" s="42">
        <f>'Análisis de Crédito'!B5</f>
        <v>0.12</v>
      </c>
      <c r="F12" s="40">
        <f>C12/((1-((1+(E12/12))^-D12))/(E12/12))</f>
        <v>0</v>
      </c>
      <c r="G12" s="43">
        <f>F12+'Análisis de Crédito'!B16</f>
        <v>0</v>
      </c>
    </row>
    <row r="13" spans="1:7" x14ac:dyDescent="0.25">
      <c r="B13" t="s">
        <v>6</v>
      </c>
    </row>
    <row r="14" spans="1:7" x14ac:dyDescent="0.25">
      <c r="B14" t="s">
        <v>7</v>
      </c>
    </row>
    <row r="15" spans="1:7" x14ac:dyDescent="0.25">
      <c r="B15" t="s">
        <v>129</v>
      </c>
    </row>
    <row r="16" spans="1:7" x14ac:dyDescent="0.25">
      <c r="B16" t="s">
        <v>130</v>
      </c>
      <c r="C16" s="2">
        <f>Solicitud!B41</f>
        <v>0</v>
      </c>
    </row>
    <row r="18" spans="1:7" x14ac:dyDescent="0.25">
      <c r="A18" s="1" t="s">
        <v>131</v>
      </c>
      <c r="B18" s="1" t="s">
        <v>132</v>
      </c>
      <c r="C18" s="1" t="s">
        <v>133</v>
      </c>
      <c r="D18" s="1" t="s">
        <v>134</v>
      </c>
      <c r="E18" s="1" t="s">
        <v>135</v>
      </c>
      <c r="F18" s="1" t="s">
        <v>136</v>
      </c>
      <c r="G18" s="1" t="s">
        <v>137</v>
      </c>
    </row>
    <row r="19" spans="1:7" x14ac:dyDescent="0.25">
      <c r="A19" s="3">
        <f>IF(1&lt;=$D$12,1,"")</f>
        <v>1</v>
      </c>
      <c r="B19" s="4">
        <f>IF(1&lt;=$D$12,IF($C$16="","",EDATE($C$16,1-1)),"")</f>
        <v>0</v>
      </c>
      <c r="C19" s="5">
        <f>IF(1&lt;=$D$12,IF(1=1,$C$12,G18),"")</f>
        <v>0</v>
      </c>
      <c r="D19" s="5">
        <f>IF(1&lt;=$D$12,$F$12,"")</f>
        <v>0</v>
      </c>
      <c r="E19" s="5">
        <f>IF(1&lt;=$D$12,C19*($E$12/12),"")</f>
        <v>0</v>
      </c>
      <c r="F19" s="5">
        <f>IF(1&lt;=$D$12,D19-E19,"")</f>
        <v>0</v>
      </c>
      <c r="G19" s="5">
        <f>IF(1&lt;=$D$12,MAX(0,C19-F19),"")</f>
        <v>0</v>
      </c>
    </row>
    <row r="20" spans="1:7" x14ac:dyDescent="0.25">
      <c r="A20" s="3">
        <f>IF(2&lt;=$D$12,2,"")</f>
        <v>2</v>
      </c>
      <c r="B20" s="4">
        <f>IF(2&lt;=$D$12,IF($C$16="","",EDATE($C$16,2-1)),"")</f>
        <v>31</v>
      </c>
      <c r="C20" s="5">
        <f>IF(2&lt;=$D$12,IF(2=1,$C$12,G19),"")</f>
        <v>0</v>
      </c>
      <c r="D20" s="5">
        <f>IF(2&lt;=$D$12,$F$12,"")</f>
        <v>0</v>
      </c>
      <c r="E20" s="5">
        <f>IF(2&lt;=$D$12,C20*($E$12/12),"")</f>
        <v>0</v>
      </c>
      <c r="F20" s="5">
        <f>IF(2&lt;=$D$12,D20-E20,"")</f>
        <v>0</v>
      </c>
      <c r="G20" s="5">
        <f>IF(2&lt;=$D$12,MAX(0,C20-F20),"")</f>
        <v>0</v>
      </c>
    </row>
    <row r="21" spans="1:7" x14ac:dyDescent="0.25">
      <c r="A21" s="3">
        <f>IF(3&lt;=$D$12,3,"")</f>
        <v>3</v>
      </c>
      <c r="B21" s="4">
        <f>IF(3&lt;=$D$12,IF($C$16="","",EDATE($C$16,3-1)),"")</f>
        <v>60</v>
      </c>
      <c r="C21" s="5">
        <f>IF(3&lt;=$D$12,IF(3=1,$C$12,G20),"")</f>
        <v>0</v>
      </c>
      <c r="D21" s="5">
        <f>IF(3&lt;=$D$12,$F$12,"")</f>
        <v>0</v>
      </c>
      <c r="E21" s="5">
        <f>IF(3&lt;=$D$12,C21*($E$12/12),"")</f>
        <v>0</v>
      </c>
      <c r="F21" s="5">
        <f>IF(3&lt;=$D$12,D21-E21,"")</f>
        <v>0</v>
      </c>
      <c r="G21" s="5">
        <f>IF(3&lt;=$D$12,MAX(0,C21-F21),"")</f>
        <v>0</v>
      </c>
    </row>
    <row r="22" spans="1:7" x14ac:dyDescent="0.25">
      <c r="A22" s="3">
        <f>IF(4&lt;=$D$12,4,"")</f>
        <v>4</v>
      </c>
      <c r="B22" s="4">
        <f>IF(4&lt;=$D$12,IF($C$16="","",EDATE($C$16,4-1)),"")</f>
        <v>91</v>
      </c>
      <c r="C22" s="5">
        <f>IF(4&lt;=$D$12,IF(4=1,$C$12,G21),"")</f>
        <v>0</v>
      </c>
      <c r="D22" s="5">
        <f>IF(4&lt;=$D$12,$F$12,"")</f>
        <v>0</v>
      </c>
      <c r="E22" s="5">
        <f>IF(4&lt;=$D$12,C22*($E$12/12),"")</f>
        <v>0</v>
      </c>
      <c r="F22" s="5">
        <f>IF(4&lt;=$D$12,D22-E22,"")</f>
        <v>0</v>
      </c>
      <c r="G22" s="5">
        <f>IF(4&lt;=$D$12,MAX(0,C22-F22),"")</f>
        <v>0</v>
      </c>
    </row>
    <row r="23" spans="1:7" x14ac:dyDescent="0.25">
      <c r="A23" s="3">
        <f>IF(5&lt;=$D$12,5,"")</f>
        <v>5</v>
      </c>
      <c r="B23" s="4">
        <f>IF(5&lt;=$D$12,IF($C$16="","",EDATE($C$16,5-1)),"")</f>
        <v>121</v>
      </c>
      <c r="C23" s="5">
        <f>IF(5&lt;=$D$12,IF(5=1,$C$12,G22),"")</f>
        <v>0</v>
      </c>
      <c r="D23" s="5">
        <f>IF(5&lt;=$D$12,$F$12,"")</f>
        <v>0</v>
      </c>
      <c r="E23" s="5">
        <f>IF(5&lt;=$D$12,C23*($E$12/12),"")</f>
        <v>0</v>
      </c>
      <c r="F23" s="5">
        <f>IF(5&lt;=$D$12,D23-E23,"")</f>
        <v>0</v>
      </c>
      <c r="G23" s="5">
        <f>IF(5&lt;=$D$12,MAX(0,C23-F23),"")</f>
        <v>0</v>
      </c>
    </row>
    <row r="24" spans="1:7" x14ac:dyDescent="0.25">
      <c r="A24" s="3">
        <f>IF(6&lt;=$D$12,6,"")</f>
        <v>6</v>
      </c>
      <c r="B24" s="4">
        <f>IF(6&lt;=$D$12,IF($C$16="","",EDATE($C$16,6-1)),"")</f>
        <v>152</v>
      </c>
      <c r="C24" s="5">
        <f>IF(6&lt;=$D$12,IF(6=1,$C$12,G23),"")</f>
        <v>0</v>
      </c>
      <c r="D24" s="5">
        <f>IF(6&lt;=$D$12,$F$12,"")</f>
        <v>0</v>
      </c>
      <c r="E24" s="5">
        <f>IF(6&lt;=$D$12,C24*($E$12/12),"")</f>
        <v>0</v>
      </c>
      <c r="F24" s="5">
        <f>IF(6&lt;=$D$12,D24-E24,"")</f>
        <v>0</v>
      </c>
      <c r="G24" s="5">
        <f>IF(6&lt;=$D$12,MAX(0,C24-F24),"")</f>
        <v>0</v>
      </c>
    </row>
    <row r="25" spans="1:7" x14ac:dyDescent="0.25">
      <c r="A25" s="3">
        <f>IF(7&lt;=$D$12,7,"")</f>
        <v>7</v>
      </c>
      <c r="B25" s="4">
        <f>IF(7&lt;=$D$12,IF($C$16="","",EDATE($C$16,7-1)),"")</f>
        <v>182</v>
      </c>
      <c r="C25" s="5">
        <f>IF(7&lt;=$D$12,IF(7=1,$C$12,G24),"")</f>
        <v>0</v>
      </c>
      <c r="D25" s="5">
        <f>IF(7&lt;=$D$12,$F$12,"")</f>
        <v>0</v>
      </c>
      <c r="E25" s="5">
        <f>IF(7&lt;=$D$12,C25*($E$12/12),"")</f>
        <v>0</v>
      </c>
      <c r="F25" s="5">
        <f>IF(7&lt;=$D$12,D25-E25,"")</f>
        <v>0</v>
      </c>
      <c r="G25" s="5">
        <f>IF(7&lt;=$D$12,MAX(0,C25-F25),"")</f>
        <v>0</v>
      </c>
    </row>
    <row r="26" spans="1:7" x14ac:dyDescent="0.25">
      <c r="A26" s="3">
        <f>IF(8&lt;=$D$12,8,"")</f>
        <v>8</v>
      </c>
      <c r="B26" s="4">
        <f>IF(8&lt;=$D$12,IF($C$16="","",EDATE($C$16,8-1)),"")</f>
        <v>213</v>
      </c>
      <c r="C26" s="5">
        <f>IF(8&lt;=$D$12,IF(8=1,$C$12,G25),"")</f>
        <v>0</v>
      </c>
      <c r="D26" s="5">
        <f>IF(8&lt;=$D$12,$F$12,"")</f>
        <v>0</v>
      </c>
      <c r="E26" s="5">
        <f>IF(8&lt;=$D$12,C26*($E$12/12),"")</f>
        <v>0</v>
      </c>
      <c r="F26" s="5">
        <f>IF(8&lt;=$D$12,D26-E26,"")</f>
        <v>0</v>
      </c>
      <c r="G26" s="5">
        <f>IF(8&lt;=$D$12,MAX(0,C26-F26),"")</f>
        <v>0</v>
      </c>
    </row>
    <row r="27" spans="1:7" x14ac:dyDescent="0.25">
      <c r="A27" s="3">
        <f>IF(9&lt;=$D$12,9,"")</f>
        <v>9</v>
      </c>
      <c r="B27" s="4">
        <f>IF(9&lt;=$D$12,IF($C$16="","",EDATE($C$16,9-1)),"")</f>
        <v>244</v>
      </c>
      <c r="C27" s="5">
        <f>IF(9&lt;=$D$12,IF(9=1,$C$12,G26),"")</f>
        <v>0</v>
      </c>
      <c r="D27" s="5">
        <f>IF(9&lt;=$D$12,$F$12,"")</f>
        <v>0</v>
      </c>
      <c r="E27" s="5">
        <f>IF(9&lt;=$D$12,C27*($E$12/12),"")</f>
        <v>0</v>
      </c>
      <c r="F27" s="5">
        <f>IF(9&lt;=$D$12,D27-E27,"")</f>
        <v>0</v>
      </c>
      <c r="G27" s="5">
        <f>IF(9&lt;=$D$12,MAX(0,C27-F27),"")</f>
        <v>0</v>
      </c>
    </row>
    <row r="28" spans="1:7" x14ac:dyDescent="0.25">
      <c r="A28" s="3">
        <f>IF(10&lt;=$D$12,10,"")</f>
        <v>10</v>
      </c>
      <c r="B28" s="4">
        <f>IF(10&lt;=$D$12,IF($C$16="","",EDATE($C$16,10-1)),"")</f>
        <v>274</v>
      </c>
      <c r="C28" s="5">
        <f>IF(10&lt;=$D$12,IF(10=1,$C$12,G27),"")</f>
        <v>0</v>
      </c>
      <c r="D28" s="5">
        <f>IF(10&lt;=$D$12,$F$12,"")</f>
        <v>0</v>
      </c>
      <c r="E28" s="5">
        <f>IF(10&lt;=$D$12,C28*($E$12/12),"")</f>
        <v>0</v>
      </c>
      <c r="F28" s="5">
        <f>IF(10&lt;=$D$12,D28-E28,"")</f>
        <v>0</v>
      </c>
      <c r="G28" s="5">
        <f>IF(10&lt;=$D$12,MAX(0,C28-F28),"")</f>
        <v>0</v>
      </c>
    </row>
    <row r="29" spans="1:7" x14ac:dyDescent="0.25">
      <c r="A29" s="3">
        <f>IF(11&lt;=$D$12,11,"")</f>
        <v>11</v>
      </c>
      <c r="B29" s="4">
        <f>IF(11&lt;=$D$12,IF($C$16="","",EDATE($C$16,11-1)),"")</f>
        <v>305</v>
      </c>
      <c r="C29" s="5">
        <f>IF(11&lt;=$D$12,IF(11=1,$C$12,G28),"")</f>
        <v>0</v>
      </c>
      <c r="D29" s="5">
        <f>IF(11&lt;=$D$12,$F$12,"")</f>
        <v>0</v>
      </c>
      <c r="E29" s="5">
        <f>IF(11&lt;=$D$12,C29*($E$12/12),"")</f>
        <v>0</v>
      </c>
      <c r="F29" s="5">
        <f>IF(11&lt;=$D$12,D29-E29,"")</f>
        <v>0</v>
      </c>
      <c r="G29" s="5">
        <f>IF(11&lt;=$D$12,MAX(0,C29-F29),"")</f>
        <v>0</v>
      </c>
    </row>
    <row r="30" spans="1:7" x14ac:dyDescent="0.25">
      <c r="A30" s="3">
        <f>IF(12&lt;=$D$12,12,"")</f>
        <v>12</v>
      </c>
      <c r="B30" s="4">
        <f>IF(12&lt;=$D$12,IF($C$16="","",EDATE($C$16,12-1)),"")</f>
        <v>335</v>
      </c>
      <c r="C30" s="5">
        <f>IF(12&lt;=$D$12,IF(12=1,$C$12,G29),"")</f>
        <v>0</v>
      </c>
      <c r="D30" s="5">
        <f>IF(12&lt;=$D$12,$F$12,"")</f>
        <v>0</v>
      </c>
      <c r="E30" s="5">
        <f>IF(12&lt;=$D$12,C30*($E$12/12),"")</f>
        <v>0</v>
      </c>
      <c r="F30" s="5">
        <f>IF(12&lt;=$D$12,D30-E30,"")</f>
        <v>0</v>
      </c>
      <c r="G30" s="5">
        <f>IF(12&lt;=$D$12,MAX(0,C30-F30),"")</f>
        <v>0</v>
      </c>
    </row>
  </sheetData>
  <sheetProtection selectLockedCells="1" selectUnlockedCells="1"/>
  <mergeCells count="6">
    <mergeCell ref="A1:G2"/>
    <mergeCell ref="C3:G3"/>
    <mergeCell ref="A5:B5"/>
    <mergeCell ref="A8:B8"/>
    <mergeCell ref="A9:B9"/>
    <mergeCell ref="E9:E10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Solicitud</vt:lpstr>
      <vt:lpstr>Listas</vt:lpstr>
      <vt:lpstr>Análisis de Crédito</vt:lpstr>
      <vt:lpstr>Amortización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Deilys Fernández</cp:lastModifiedBy>
  <dcterms:created xsi:type="dcterms:W3CDTF">2026-04-16T06:11:53Z</dcterms:created>
  <dcterms:modified xsi:type="dcterms:W3CDTF">2026-04-17T04:28:22Z</dcterms:modified>
</cp:coreProperties>
</file>